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23\OneDrive\Desktop\Lab Psychology\Solo Project Lexical Decision Task\data\"/>
    </mc:Choice>
  </mc:AlternateContent>
  <bookViews>
    <workbookView xWindow="0" yWindow="0" windowWidth="19200" windowHeight="693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M9" i="1" l="1"/>
  <c r="AM8" i="1"/>
  <c r="AM5" i="1"/>
  <c r="AM4" i="1"/>
  <c r="AM3" i="1"/>
  <c r="AM2" i="1"/>
  <c r="AE9" i="1" l="1"/>
  <c r="AE8" i="1"/>
  <c r="AE5" i="1"/>
  <c r="AE4" i="1"/>
  <c r="AE3" i="1"/>
  <c r="AE2" i="1"/>
  <c r="W9" i="1"/>
  <c r="W8" i="1"/>
  <c r="W5" i="1"/>
  <c r="W4" i="1"/>
  <c r="W3" i="1"/>
  <c r="W2" i="1"/>
  <c r="O2" i="1"/>
  <c r="O9" i="1"/>
  <c r="O8" i="1"/>
  <c r="G8" i="1"/>
  <c r="O5" i="1"/>
  <c r="O4" i="1"/>
  <c r="G4" i="1"/>
  <c r="O3" i="1"/>
  <c r="G3" i="1"/>
  <c r="G2" i="1"/>
  <c r="G5" i="1"/>
  <c r="G9" i="1"/>
</calcChain>
</file>

<file path=xl/sharedStrings.xml><?xml version="1.0" encoding="utf-8"?>
<sst xmlns="http://schemas.openxmlformats.org/spreadsheetml/2006/main" count="566" uniqueCount="114">
  <si>
    <t>Participant 1</t>
  </si>
  <si>
    <t>Characters</t>
  </si>
  <si>
    <t>Corr_ans</t>
  </si>
  <si>
    <t>spov</t>
  </si>
  <si>
    <t>hal</t>
  </si>
  <si>
    <t>apple</t>
  </si>
  <si>
    <t>lun</t>
  </si>
  <si>
    <t>ruve</t>
  </si>
  <si>
    <t>psw</t>
  </si>
  <si>
    <t>rose</t>
  </si>
  <si>
    <t>phone</t>
  </si>
  <si>
    <t>day</t>
  </si>
  <si>
    <t>lamp</t>
  </si>
  <si>
    <t>mip</t>
  </si>
  <si>
    <t>flower</t>
  </si>
  <si>
    <t>door</t>
  </si>
  <si>
    <t>bipt</t>
  </si>
  <si>
    <t>pencil</t>
  </si>
  <si>
    <t>baf</t>
  </si>
  <si>
    <t>tree</t>
  </si>
  <si>
    <t>tea</t>
  </si>
  <si>
    <t>night</t>
  </si>
  <si>
    <t>king</t>
  </si>
  <si>
    <t>wug</t>
  </si>
  <si>
    <t>bird</t>
  </si>
  <si>
    <t>pat</t>
  </si>
  <si>
    <t>gup</t>
  </si>
  <si>
    <t>vist</t>
  </si>
  <si>
    <t>pum</t>
  </si>
  <si>
    <t>shirt</t>
  </si>
  <si>
    <t>fen</t>
  </si>
  <si>
    <t>dog</t>
  </si>
  <si>
    <t>glass</t>
  </si>
  <si>
    <t>music</t>
  </si>
  <si>
    <t>jod</t>
  </si>
  <si>
    <t>hei</t>
  </si>
  <si>
    <t>desk</t>
  </si>
  <si>
    <t>tup</t>
  </si>
  <si>
    <t>train</t>
  </si>
  <si>
    <t>gan</t>
  </si>
  <si>
    <t>beach</t>
  </si>
  <si>
    <t>car</t>
  </si>
  <si>
    <t>tev</t>
  </si>
  <si>
    <t>plant</t>
  </si>
  <si>
    <t>chair</t>
  </si>
  <si>
    <t>shoe</t>
  </si>
  <si>
    <t>Cat</t>
  </si>
  <si>
    <t>nar</t>
  </si>
  <si>
    <t>tim</t>
  </si>
  <si>
    <t>nif</t>
  </si>
  <si>
    <t>tam</t>
  </si>
  <si>
    <t>bag</t>
  </si>
  <si>
    <t>pik</t>
  </si>
  <si>
    <t>sote</t>
  </si>
  <si>
    <t>vix</t>
  </si>
  <si>
    <t>sno</t>
  </si>
  <si>
    <t>table</t>
  </si>
  <si>
    <t>fip</t>
  </si>
  <si>
    <t>vep</t>
  </si>
  <si>
    <t>book</t>
  </si>
  <si>
    <t>lom</t>
  </si>
  <si>
    <t>mouse</t>
  </si>
  <si>
    <t>kilp</t>
  </si>
  <si>
    <t>kus</t>
  </si>
  <si>
    <t>ship</t>
  </si>
  <si>
    <t>glin</t>
  </si>
  <si>
    <t>bly</t>
  </si>
  <si>
    <t>wex</t>
  </si>
  <si>
    <t>cloud</t>
  </si>
  <si>
    <t>kib</t>
  </si>
  <si>
    <t>card</t>
  </si>
  <si>
    <t>gled</t>
  </si>
  <si>
    <t>wall</t>
  </si>
  <si>
    <t>nsh</t>
  </si>
  <si>
    <t>juf</t>
  </si>
  <si>
    <t>ring</t>
  </si>
  <si>
    <t>rek</t>
  </si>
  <si>
    <t>dors</t>
  </si>
  <si>
    <t>leaf</t>
  </si>
  <si>
    <t>cap</t>
  </si>
  <si>
    <t>house</t>
  </si>
  <si>
    <t>bar</t>
  </si>
  <si>
    <t>def</t>
  </si>
  <si>
    <t>spl</t>
  </si>
  <si>
    <t>window</t>
  </si>
  <si>
    <t>lake</t>
  </si>
  <si>
    <t>plo</t>
  </si>
  <si>
    <t>tiger</t>
  </si>
  <si>
    <t>salt</t>
  </si>
  <si>
    <t>taz</t>
  </si>
  <si>
    <t>loi</t>
  </si>
  <si>
    <t>star</t>
  </si>
  <si>
    <t>kiy</t>
  </si>
  <si>
    <t>rig</t>
  </si>
  <si>
    <t>cup</t>
  </si>
  <si>
    <t>river</t>
  </si>
  <si>
    <t>moon</t>
  </si>
  <si>
    <t>team</t>
  </si>
  <si>
    <t>zor</t>
  </si>
  <si>
    <t>del</t>
  </si>
  <si>
    <t>sun</t>
  </si>
  <si>
    <t>jkn</t>
  </si>
  <si>
    <t>key_resp.corr</t>
  </si>
  <si>
    <t>key_resp.rt</t>
  </si>
  <si>
    <t>Reaction Time of Accurate trials</t>
  </si>
  <si>
    <t>Accuracy</t>
  </si>
  <si>
    <t>Error rate</t>
  </si>
  <si>
    <t>error rate percentage</t>
  </si>
  <si>
    <t>Word Accuracy</t>
  </si>
  <si>
    <t>Non Word Accuracy</t>
  </si>
  <si>
    <t>Participant 2</t>
  </si>
  <si>
    <t>Participant 3</t>
  </si>
  <si>
    <t>Participant 4</t>
  </si>
  <si>
    <t>Participant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</si>
</sst>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Sheet2!$A$2</c:f>
              <c:strCache>
                <c:ptCount val="1"/>
                <c:pt idx="0">
                  <c:v>Reaction Time of Accurate trials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Sheet2!$B$1:$F$1</c:f>
              <c:strCache>
                <c:ptCount val="5"/>
                <c:pt idx="0">
                  <c:v>Participant 1</c:v>
                </c:pt>
                <c:pt idx="1">
                  <c:v>Participant 2</c:v>
                </c:pt>
                <c:pt idx="2">
                  <c:v>Participant 3</c:v>
                </c:pt>
                <c:pt idx="3">
                  <c:v>Participant 4</c:v>
                </c:pt>
                <c:pt idx="4">
                  <c:v>Participant 5</c:v>
                </c:pt>
              </c:strCache>
            </c:strRef>
          </c:cat>
          <c:val>
            <c:numRef>
              <c:f>Sheet2!$B$2:$F$2</c:f>
              <c:numCache>
                <c:formatCode>General</c:formatCode>
                <c:ptCount val="5"/>
                <c:pt idx="0">
                  <c:v>0.75102999999999998</c:v>
                </c:pt>
                <c:pt idx="1">
                  <c:v>0.88310200000000005</c:v>
                </c:pt>
                <c:pt idx="2">
                  <c:v>0.90537500000000004</c:v>
                </c:pt>
                <c:pt idx="3">
                  <c:v>0.74856699999999998</c:v>
                </c:pt>
                <c:pt idx="4">
                  <c:v>1.1546700000000001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CE-4C37-A57C-37B2AD163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672983743"/>
        <c:axId val="672971679"/>
      </c:barChart>
      <c:catAx>
        <c:axId val="6729837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Participants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971679"/>
        <c:crosses val="autoZero"/>
        <c:auto val="1"/>
        <c:lblAlgn val="ctr"/>
        <c:lblOffset val="100"/>
        <c:noMultiLvlLbl val="0"/>
      </c:catAx>
      <c:valAx>
        <c:axId val="672971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 time (s)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983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Word vs Non- word accuracy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Sheet2!$A$4</c:f>
              <c:strCache>
                <c:ptCount val="1"/>
                <c:pt idx="0">
                  <c:v>Word Accuracy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Sheet2!$B$4:$F$4</c:f>
              <c:numCache>
                <c:formatCode>General</c:formatCode>
                <c:ptCount val="5"/>
                <c:pt idx="0">
                  <c:v>0.96</c:v>
                </c:pt>
                <c:pt idx="1">
                  <c:v>0.94</c:v>
                </c:pt>
                <c:pt idx="2">
                  <c:v>0.98</c:v>
                </c:pt>
                <c:pt idx="3">
                  <c:v>1</c:v>
                </c:pt>
                <c:pt idx="4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55-4D3D-AF47-6BB27F514250}"/>
            </c:ext>
          </c:extLst>
        </c:ser>
        <c:ser>
          <c:idx val="1"/>
          <c:order val="1"/>
          <c:tx>
            <c:strRef>
              <c:f>Sheet2!$A$5</c:f>
              <c:strCache>
                <c:ptCount val="1"/>
                <c:pt idx="0">
                  <c:v>Non Word Accuracy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Sheet2!$B$5:$F$5</c:f>
              <c:numCache>
                <c:formatCode>General</c:formatCode>
                <c:ptCount val="5"/>
                <c:pt idx="0">
                  <c:v>0.2</c:v>
                </c:pt>
                <c:pt idx="1">
                  <c:v>0.9</c:v>
                </c:pt>
                <c:pt idx="2">
                  <c:v>0.72</c:v>
                </c:pt>
                <c:pt idx="3">
                  <c:v>0.94</c:v>
                </c:pt>
                <c:pt idx="4">
                  <c:v>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55-4D3D-AF47-6BB27F514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6859663"/>
        <c:axId val="676860495"/>
      </c:lineChart>
      <c:catAx>
        <c:axId val="67685966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Participants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860495"/>
        <c:crosses val="autoZero"/>
        <c:auto val="1"/>
        <c:lblAlgn val="ctr"/>
        <c:lblOffset val="100"/>
        <c:noMultiLvlLbl val="0"/>
      </c:catAx>
      <c:valAx>
        <c:axId val="67686049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Accuracy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85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Sheet2!$A$7</c:f>
              <c:strCache>
                <c:ptCount val="1"/>
                <c:pt idx="0">
                  <c:v>error rate percentage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Sheet2!$B$7:$F$7</c:f>
              <c:numCache>
                <c:formatCode>General</c:formatCode>
                <c:ptCount val="5"/>
                <c:pt idx="0">
                  <c:v>0.1</c:v>
                </c:pt>
                <c:pt idx="1">
                  <c:v>0.08</c:v>
                </c:pt>
                <c:pt idx="2">
                  <c:v>0.15</c:v>
                </c:pt>
                <c:pt idx="3">
                  <c:v>0.03</c:v>
                </c:pt>
                <c:pt idx="4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71-4A16-B57B-4549EB478DD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942157967"/>
        <c:axId val="942151311"/>
      </c:lineChart>
      <c:catAx>
        <c:axId val="942157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Participants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151311"/>
        <c:crosses val="autoZero"/>
        <c:auto val="1"/>
        <c:lblAlgn val="ctr"/>
        <c:lblOffset val="100"/>
        <c:noMultiLvlLbl val="0"/>
      </c:catAx>
      <c:valAx>
        <c:axId val="942151311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Error</a:t>
                </a:r>
                <a:r>
                  <a:rPr lang="en-IN" baseline="0"/>
                  <a:t> rate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942157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Reaction time vs accuracy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Sheet2!$A$2</c:f>
              <c:strCache>
                <c:ptCount val="1"/>
                <c:pt idx="0">
                  <c:v>Reaction Time of Accurate trials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Sheet2!$B$1:$F$1</c:f>
              <c:strCache>
                <c:ptCount val="5"/>
                <c:pt idx="0">
                  <c:v>Participant 1</c:v>
                </c:pt>
                <c:pt idx="1">
                  <c:v>Participant 2</c:v>
                </c:pt>
                <c:pt idx="2">
                  <c:v>Participant 3</c:v>
                </c:pt>
                <c:pt idx="3">
                  <c:v>Participant 4</c:v>
                </c:pt>
                <c:pt idx="4">
                  <c:v>Participant 5</c:v>
                </c:pt>
              </c:strCache>
            </c:strRef>
          </c:cat>
          <c:val>
            <c:numRef>
              <c:f>Sheet2!$B$2:$F$2</c:f>
              <c:numCache>
                <c:formatCode>General</c:formatCode>
                <c:ptCount val="5"/>
                <c:pt idx="0">
                  <c:v>0.75102999999999998</c:v>
                </c:pt>
                <c:pt idx="1">
                  <c:v>0.88310200000000005</c:v>
                </c:pt>
                <c:pt idx="2">
                  <c:v>0.90537500000000004</c:v>
                </c:pt>
                <c:pt idx="3">
                  <c:v>0.74856699999999998</c:v>
                </c:pt>
                <c:pt idx="4">
                  <c:v>1.1546700000000001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83-48D7-BEF3-A473BC6DB5B9}"/>
            </c:ext>
          </c:extLst>
        </c:ser>
        <c:ser>
          <c:idx val="1"/>
          <c:order val="1"/>
          <c:tx>
            <c:strRef>
              <c:f>Sheet2!$A$3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Sheet2!$B$1:$F$1</c:f>
              <c:strCache>
                <c:ptCount val="5"/>
                <c:pt idx="0">
                  <c:v>Participant 1</c:v>
                </c:pt>
                <c:pt idx="1">
                  <c:v>Participant 2</c:v>
                </c:pt>
                <c:pt idx="2">
                  <c:v>Participant 3</c:v>
                </c:pt>
                <c:pt idx="3">
                  <c:v>Participant 4</c:v>
                </c:pt>
                <c:pt idx="4">
                  <c:v>Participant 5</c:v>
                </c:pt>
              </c:strCache>
            </c:strRef>
          </c:cat>
          <c:val>
            <c:numRef>
              <c:f>Sheet2!$B$3:$F$3</c:f>
              <c:numCache>
                <c:formatCode>General</c:formatCode>
                <c:ptCount val="5"/>
                <c:pt idx="0">
                  <c:v>0.9</c:v>
                </c:pt>
                <c:pt idx="1">
                  <c:v>0.92</c:v>
                </c:pt>
                <c:pt idx="2">
                  <c:v>0.85</c:v>
                </c:pt>
                <c:pt idx="3">
                  <c:v>0.97</c:v>
                </c:pt>
                <c:pt idx="4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83-48D7-BEF3-A473BC6DB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2981247"/>
        <c:axId val="672985823"/>
      </c:lineChart>
      <c:catAx>
        <c:axId val="67298124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985823"/>
        <c:crosses val="autoZero"/>
        <c:auto val="1"/>
        <c:lblAlgn val="ctr"/>
        <c:lblOffset val="100"/>
        <c:noMultiLvlLbl val="0"/>
      </c:catAx>
      <c:valAx>
        <c:axId val="67298582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981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511175</xdr:colOff>
      <xdr:row>0</xdr:row>
      <xdr:rowOff>168275</xdr:rowOff>
    </xdr:from>
    <xdr:to>
      <xdr:col>14</xdr:col>
      <xdr:colOff>206375</xdr:colOff>
      <xdr:row>15</xdr:row>
      <xdr:rowOff>149225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587375</xdr:colOff>
      <xdr:row>16</xdr:row>
      <xdr:rowOff>60325</xdr:rowOff>
    </xdr:from>
    <xdr:to>
      <xdr:col>14</xdr:col>
      <xdr:colOff>282575</xdr:colOff>
      <xdr:row>31</xdr:row>
      <xdr:rowOff>41275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301625</xdr:colOff>
      <xdr:row>8</xdr:row>
      <xdr:rowOff>92075</xdr:rowOff>
    </xdr:from>
    <xdr:to>
      <xdr:col>6</xdr:col>
      <xdr:colOff>409575</xdr:colOff>
      <xdr:row>23</xdr:row>
      <xdr:rowOff>73025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269875</xdr:colOff>
      <xdr:row>23</xdr:row>
      <xdr:rowOff>149225</xdr:rowOff>
    </xdr:from>
    <xdr:to>
      <xdr:col>6</xdr:col>
      <xdr:colOff>377825</xdr:colOff>
      <xdr:row>38</xdr:row>
      <xdr:rowOff>130175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3"/>
  <sheetViews>
    <sheetView topLeftCell="AD1" workbookViewId="0">
      <selection activeCell="AO14" sqref="AO14"/>
    </sheetView>
  </sheetViews>
  <sheetFormatPr defaultRowHeight="14.5" x14ac:dyDescent="0.35"/>
  <cols>
    <col min="1" max="1" width="11" customWidth="1"/>
    <col min="2" max="2" width="11.08984375" customWidth="1"/>
    <col min="3" max="3" width="13.7265625" customWidth="1"/>
    <col min="4" max="4" width="11.1796875" customWidth="1"/>
    <col min="6" max="6" width="29.90625" customWidth="1"/>
    <col min="9" max="9" width="12.81640625" customWidth="1"/>
    <col min="10" max="10" width="11.1796875" customWidth="1"/>
    <col min="11" max="11" width="13.7265625" customWidth="1"/>
    <col min="12" max="12" width="10.1796875" customWidth="1"/>
    <col min="14" max="14" width="27.7265625" customWidth="1"/>
    <col min="17" max="17" width="12.90625" customWidth="1"/>
    <col min="18" max="18" width="11" customWidth="1"/>
    <col min="19" max="19" width="12.36328125" customWidth="1"/>
    <col min="20" max="20" width="12.1796875" customWidth="1"/>
    <col min="22" max="22" width="28.26953125" customWidth="1"/>
    <col min="25" max="25" width="10.81640625" customWidth="1"/>
    <col min="26" max="26" width="11.08984375" customWidth="1"/>
    <col min="27" max="27" width="12.1796875" customWidth="1"/>
    <col min="28" max="28" width="10.90625" customWidth="1"/>
    <col min="30" max="30" width="27.26953125" customWidth="1"/>
    <col min="33" max="33" width="12.1796875" customWidth="1"/>
    <col min="34" max="34" width="10.54296875" customWidth="1"/>
    <col min="35" max="35" width="11.7265625" customWidth="1"/>
    <col min="36" max="36" width="11" customWidth="1"/>
    <col min="38" max="38" width="27.7265625" customWidth="1"/>
  </cols>
  <sheetData>
    <row r="1" spans="1:39" x14ac:dyDescent="0.35">
      <c r="C1" t="s">
        <v>0</v>
      </c>
      <c r="K1" t="s">
        <v>110</v>
      </c>
      <c r="S1" t="s">
        <v>111</v>
      </c>
      <c r="Z1" t="s">
        <v>112</v>
      </c>
      <c r="AI1" t="s">
        <v>113</v>
      </c>
    </row>
    <row r="2" spans="1:39" x14ac:dyDescent="0.35">
      <c r="A2" t="s">
        <v>1</v>
      </c>
      <c r="B2" t="s">
        <v>2</v>
      </c>
      <c r="C2" t="s">
        <v>102</v>
      </c>
      <c r="D2" t="s">
        <v>103</v>
      </c>
      <c r="F2" s="1" t="s">
        <v>104</v>
      </c>
      <c r="G2" s="1">
        <f>AVERAGEIF(C4:C103, "1", D4:D103)</f>
        <v>0.75102978666222386</v>
      </c>
      <c r="I2" t="s">
        <v>1</v>
      </c>
      <c r="J2" t="s">
        <v>2</v>
      </c>
      <c r="K2" t="s">
        <v>102</v>
      </c>
      <c r="L2" t="s">
        <v>103</v>
      </c>
      <c r="N2" s="1" t="s">
        <v>104</v>
      </c>
      <c r="O2" s="1">
        <f>AVERAGEIF(K:K,"1",L:L)</f>
        <v>0.8831022423951439</v>
      </c>
      <c r="Q2" t="s">
        <v>1</v>
      </c>
      <c r="R2" t="s">
        <v>2</v>
      </c>
      <c r="S2" t="s">
        <v>102</v>
      </c>
      <c r="T2" t="s">
        <v>103</v>
      </c>
      <c r="V2" s="1" t="s">
        <v>104</v>
      </c>
      <c r="W2" s="1">
        <f>AVERAGEIF(S:S,"1",T:T)</f>
        <v>0.90537470118074015</v>
      </c>
      <c r="Y2" t="s">
        <v>1</v>
      </c>
      <c r="Z2" t="s">
        <v>2</v>
      </c>
      <c r="AA2" t="s">
        <v>102</v>
      </c>
      <c r="AB2" t="s">
        <v>103</v>
      </c>
      <c r="AD2" s="1" t="s">
        <v>104</v>
      </c>
      <c r="AE2" s="1">
        <f>AVERAGEIF(AA:AA,"1",AB:AB)</f>
        <v>0.74856691133739672</v>
      </c>
      <c r="AG2" t="s">
        <v>1</v>
      </c>
      <c r="AH2" t="s">
        <v>2</v>
      </c>
      <c r="AI2" t="s">
        <v>102</v>
      </c>
      <c r="AJ2" t="s">
        <v>103</v>
      </c>
      <c r="AL2" s="1" t="s">
        <v>104</v>
      </c>
      <c r="AM2" s="1">
        <f>AVERAGEIF(AI:AI,"1",AJ:AJ)</f>
        <v>1.1546704288699274</v>
      </c>
    </row>
    <row r="3" spans="1:39" x14ac:dyDescent="0.35">
      <c r="F3" s="1" t="s">
        <v>105</v>
      </c>
      <c r="G3" s="1">
        <f>AVERAGE(C4:C103)</f>
        <v>0.9</v>
      </c>
      <c r="N3" s="1" t="s">
        <v>105</v>
      </c>
      <c r="O3" s="1">
        <f>AVERAGE(K:K)</f>
        <v>0.92</v>
      </c>
      <c r="V3" s="1" t="s">
        <v>105</v>
      </c>
      <c r="W3" s="1">
        <f>AVERAGE(S:S)</f>
        <v>0.85</v>
      </c>
      <c r="AD3" s="1" t="s">
        <v>105</v>
      </c>
      <c r="AE3" s="1">
        <f>AVERAGE(AA:AA)</f>
        <v>0.97</v>
      </c>
      <c r="AL3" s="1" t="s">
        <v>105</v>
      </c>
      <c r="AM3" s="1">
        <f>AVERAGE(AI:AI)</f>
        <v>0.97</v>
      </c>
    </row>
    <row r="4" spans="1:39" x14ac:dyDescent="0.35">
      <c r="A4" t="s">
        <v>3</v>
      </c>
      <c r="B4">
        <v>0</v>
      </c>
      <c r="C4">
        <v>1</v>
      </c>
      <c r="D4">
        <v>0.99751909996848498</v>
      </c>
      <c r="F4" s="1" t="s">
        <v>108</v>
      </c>
      <c r="G4" s="1">
        <f>AVERAGEIFS(C:C,B:B, "1")</f>
        <v>0.96</v>
      </c>
      <c r="I4" t="s">
        <v>9</v>
      </c>
      <c r="J4">
        <v>1</v>
      </c>
      <c r="K4">
        <v>1</v>
      </c>
      <c r="L4">
        <v>3.0098429999779901</v>
      </c>
      <c r="N4" s="1" t="s">
        <v>108</v>
      </c>
      <c r="O4" s="1">
        <f>AVERAGEIFS(K:K,J:J,"1")</f>
        <v>0.94</v>
      </c>
      <c r="Q4" t="s">
        <v>93</v>
      </c>
      <c r="R4">
        <v>0</v>
      </c>
      <c r="S4">
        <v>0</v>
      </c>
      <c r="T4">
        <v>2.0853160999831699</v>
      </c>
      <c r="V4" s="1" t="s">
        <v>108</v>
      </c>
      <c r="W4" s="1">
        <f>AVERAGEIFS(S:S,R:R,"1")</f>
        <v>0.98</v>
      </c>
      <c r="Y4" t="s">
        <v>93</v>
      </c>
      <c r="Z4">
        <v>0</v>
      </c>
      <c r="AA4">
        <v>0</v>
      </c>
      <c r="AB4">
        <v>6.0168834999785696</v>
      </c>
      <c r="AD4" s="1" t="s">
        <v>108</v>
      </c>
      <c r="AE4" s="1">
        <f>AVERAGEIFS(AA:AA,Z:Z,"1")</f>
        <v>1</v>
      </c>
      <c r="AG4" t="s">
        <v>87</v>
      </c>
      <c r="AH4">
        <v>1</v>
      </c>
      <c r="AI4">
        <v>1</v>
      </c>
      <c r="AJ4">
        <v>2.6988852000213202</v>
      </c>
      <c r="AL4" s="1" t="s">
        <v>108</v>
      </c>
      <c r="AM4" s="1">
        <f>AVERAGEIFS(AI:AI,AH:AH,"1")</f>
        <v>0.98</v>
      </c>
    </row>
    <row r="5" spans="1:39" x14ac:dyDescent="0.35">
      <c r="A5" t="s">
        <v>4</v>
      </c>
      <c r="B5">
        <v>0</v>
      </c>
      <c r="C5">
        <v>1</v>
      </c>
      <c r="D5">
        <v>0.52448160003404998</v>
      </c>
      <c r="F5" s="1" t="s">
        <v>109</v>
      </c>
      <c r="G5" s="1">
        <f>AVERAGEIFS(B:B,C:C, "0")</f>
        <v>0.2</v>
      </c>
      <c r="I5" t="s">
        <v>99</v>
      </c>
      <c r="J5">
        <v>0</v>
      </c>
      <c r="K5">
        <v>1</v>
      </c>
      <c r="L5">
        <v>1.3963622999726699</v>
      </c>
      <c r="N5" s="1" t="s">
        <v>109</v>
      </c>
      <c r="O5" s="1">
        <f>AVERAGEIFS(K:K,J:J,"0")</f>
        <v>0.9</v>
      </c>
      <c r="Q5" t="s">
        <v>61</v>
      </c>
      <c r="R5">
        <v>1</v>
      </c>
      <c r="S5">
        <v>1</v>
      </c>
      <c r="T5">
        <v>1.4128709000069599</v>
      </c>
      <c r="V5" s="1" t="s">
        <v>109</v>
      </c>
      <c r="W5" s="1">
        <f>AVERAGEIFS(S:S,R:R,"0")</f>
        <v>0.72</v>
      </c>
      <c r="Y5" t="s">
        <v>47</v>
      </c>
      <c r="Z5">
        <v>0</v>
      </c>
      <c r="AA5">
        <v>1</v>
      </c>
      <c r="AB5">
        <v>0.77935730002354797</v>
      </c>
      <c r="AD5" s="1" t="s">
        <v>109</v>
      </c>
      <c r="AE5" s="1">
        <f>AVERAGEIFS(AA:AA,Z:Z,"0")</f>
        <v>0.94</v>
      </c>
      <c r="AG5" t="s">
        <v>49</v>
      </c>
      <c r="AH5">
        <v>0</v>
      </c>
      <c r="AI5">
        <v>1</v>
      </c>
      <c r="AJ5">
        <v>2.43232530000386</v>
      </c>
      <c r="AL5" s="1" t="s">
        <v>109</v>
      </c>
      <c r="AM5" s="1">
        <f>AVERAGEIFS(AI:AI,AH:AH,"0")</f>
        <v>0.96</v>
      </c>
    </row>
    <row r="6" spans="1:39" x14ac:dyDescent="0.35">
      <c r="A6" t="s">
        <v>5</v>
      </c>
      <c r="B6">
        <v>1</v>
      </c>
      <c r="C6">
        <v>1</v>
      </c>
      <c r="D6">
        <v>0.51843579998239797</v>
      </c>
      <c r="F6" s="1"/>
      <c r="G6" s="1"/>
      <c r="I6" t="s">
        <v>59</v>
      </c>
      <c r="J6">
        <v>1</v>
      </c>
      <c r="K6">
        <v>1</v>
      </c>
      <c r="L6">
        <v>0.778854499978479</v>
      </c>
      <c r="N6" s="1"/>
      <c r="O6" s="1"/>
      <c r="Q6" t="s">
        <v>25</v>
      </c>
      <c r="R6">
        <v>1</v>
      </c>
      <c r="S6">
        <v>1</v>
      </c>
      <c r="T6">
        <v>0.93307609995827001</v>
      </c>
      <c r="V6" s="1"/>
      <c r="W6" s="1"/>
      <c r="Y6" t="s">
        <v>71</v>
      </c>
      <c r="Z6">
        <v>0</v>
      </c>
      <c r="AA6">
        <v>1</v>
      </c>
      <c r="AB6">
        <v>0.73820879997219802</v>
      </c>
      <c r="AD6" s="1"/>
      <c r="AE6" s="1"/>
      <c r="AG6" t="s">
        <v>80</v>
      </c>
      <c r="AH6">
        <v>1</v>
      </c>
      <c r="AI6">
        <v>1</v>
      </c>
      <c r="AJ6">
        <v>0.85877060005441297</v>
      </c>
      <c r="AL6" s="1"/>
      <c r="AM6" s="1"/>
    </row>
    <row r="7" spans="1:39" x14ac:dyDescent="0.35">
      <c r="A7" t="s">
        <v>6</v>
      </c>
      <c r="B7">
        <v>0</v>
      </c>
      <c r="C7">
        <v>1</v>
      </c>
      <c r="D7">
        <v>0.60959670000011101</v>
      </c>
      <c r="F7" s="1"/>
      <c r="G7" s="1"/>
      <c r="I7" t="s">
        <v>83</v>
      </c>
      <c r="J7">
        <v>0</v>
      </c>
      <c r="K7">
        <v>1</v>
      </c>
      <c r="L7">
        <v>0.75863880000542805</v>
      </c>
      <c r="N7" s="1"/>
      <c r="O7" s="1"/>
      <c r="Q7" t="s">
        <v>71</v>
      </c>
      <c r="R7">
        <v>0</v>
      </c>
      <c r="S7">
        <v>1</v>
      </c>
      <c r="T7">
        <v>1.65821199998026</v>
      </c>
      <c r="V7" s="1"/>
      <c r="W7" s="1"/>
      <c r="Y7" t="s">
        <v>66</v>
      </c>
      <c r="Z7">
        <v>0</v>
      </c>
      <c r="AA7">
        <v>1</v>
      </c>
      <c r="AB7">
        <v>0.65054019994568002</v>
      </c>
      <c r="AD7" s="1"/>
      <c r="AE7" s="1"/>
      <c r="AG7" t="s">
        <v>74</v>
      </c>
      <c r="AH7">
        <v>0</v>
      </c>
      <c r="AI7">
        <v>1</v>
      </c>
      <c r="AJ7">
        <v>2.2809452000074</v>
      </c>
      <c r="AL7" s="1"/>
      <c r="AM7" s="1"/>
    </row>
    <row r="8" spans="1:39" x14ac:dyDescent="0.35">
      <c r="A8" t="s">
        <v>7</v>
      </c>
      <c r="B8">
        <v>0</v>
      </c>
      <c r="C8">
        <v>1</v>
      </c>
      <c r="D8">
        <v>0.57133110001450405</v>
      </c>
      <c r="F8" s="1" t="s">
        <v>106</v>
      </c>
      <c r="G8" s="1">
        <f>COUNTIF(C4:C103, 0)</f>
        <v>10</v>
      </c>
      <c r="I8" t="s">
        <v>63</v>
      </c>
      <c r="J8">
        <v>0</v>
      </c>
      <c r="K8">
        <v>1</v>
      </c>
      <c r="L8">
        <v>0.66089160001138203</v>
      </c>
      <c r="N8" s="1" t="s">
        <v>106</v>
      </c>
      <c r="O8" s="1">
        <f>COUNTIF(K:K,"0")</f>
        <v>8</v>
      </c>
      <c r="Q8" t="s">
        <v>6</v>
      </c>
      <c r="R8">
        <v>0</v>
      </c>
      <c r="S8">
        <v>1</v>
      </c>
      <c r="T8">
        <v>0.99452389997895796</v>
      </c>
      <c r="V8" s="1" t="s">
        <v>106</v>
      </c>
      <c r="W8" s="1">
        <f>COUNTIF(S:S,0)</f>
        <v>15</v>
      </c>
      <c r="Y8" t="s">
        <v>28</v>
      </c>
      <c r="Z8">
        <v>0</v>
      </c>
      <c r="AA8">
        <v>1</v>
      </c>
      <c r="AB8">
        <v>0.97820819995831698</v>
      </c>
      <c r="AD8" s="1" t="s">
        <v>106</v>
      </c>
      <c r="AE8" s="1">
        <f>COUNTIF(AA:AA,"0")</f>
        <v>3</v>
      </c>
      <c r="AG8" t="s">
        <v>41</v>
      </c>
      <c r="AH8">
        <v>1</v>
      </c>
      <c r="AI8">
        <v>1</v>
      </c>
      <c r="AJ8">
        <v>0.66613760002655897</v>
      </c>
      <c r="AL8" s="1" t="s">
        <v>106</v>
      </c>
      <c r="AM8" s="1">
        <f>COUNTIF(AI:AI,"0")</f>
        <v>3</v>
      </c>
    </row>
    <row r="9" spans="1:39" x14ac:dyDescent="0.35">
      <c r="A9" t="s">
        <v>8</v>
      </c>
      <c r="B9">
        <v>0</v>
      </c>
      <c r="C9">
        <v>1</v>
      </c>
      <c r="D9">
        <v>0.50249539996730097</v>
      </c>
      <c r="F9" s="1" t="s">
        <v>107</v>
      </c>
      <c r="G9" s="1">
        <f>G8/COUNT(C4:C103)</f>
        <v>0.1</v>
      </c>
      <c r="I9" t="s">
        <v>65</v>
      </c>
      <c r="J9">
        <v>0</v>
      </c>
      <c r="K9">
        <v>1</v>
      </c>
      <c r="L9">
        <v>0.81384139996953297</v>
      </c>
      <c r="N9" s="1" t="s">
        <v>107</v>
      </c>
      <c r="O9" s="1">
        <f>O8/COUNTA(K4:K103)</f>
        <v>0.08</v>
      </c>
      <c r="Q9" t="s">
        <v>73</v>
      </c>
      <c r="R9">
        <v>0</v>
      </c>
      <c r="S9">
        <v>1</v>
      </c>
      <c r="T9">
        <v>0.62930199998663705</v>
      </c>
      <c r="V9" s="1" t="s">
        <v>107</v>
      </c>
      <c r="W9" s="1">
        <f>W8/COUNTA(S4:S103)</f>
        <v>0.15</v>
      </c>
      <c r="Y9" t="s">
        <v>70</v>
      </c>
      <c r="Z9">
        <v>1</v>
      </c>
      <c r="AA9">
        <v>1</v>
      </c>
      <c r="AB9">
        <v>0.53409840003587306</v>
      </c>
      <c r="AD9" s="1" t="s">
        <v>107</v>
      </c>
      <c r="AE9" s="1">
        <f>AE8/COUNTA(AA4:AA103)</f>
        <v>0.03</v>
      </c>
      <c r="AG9" t="s">
        <v>71</v>
      </c>
      <c r="AH9">
        <v>0</v>
      </c>
      <c r="AI9">
        <v>1</v>
      </c>
      <c r="AJ9">
        <v>3.7757702999515401</v>
      </c>
      <c r="AL9" s="1" t="s">
        <v>107</v>
      </c>
      <c r="AM9" s="1">
        <f>AM8/COUNTA(AI4:AI103)</f>
        <v>0.03</v>
      </c>
    </row>
    <row r="10" spans="1:39" x14ac:dyDescent="0.35">
      <c r="A10" t="s">
        <v>9</v>
      </c>
      <c r="B10">
        <v>1</v>
      </c>
      <c r="C10">
        <v>1</v>
      </c>
      <c r="D10">
        <v>0.56335279997438104</v>
      </c>
      <c r="I10" t="s">
        <v>72</v>
      </c>
      <c r="J10">
        <v>1</v>
      </c>
      <c r="K10">
        <v>1</v>
      </c>
      <c r="L10">
        <v>0.62978009996004403</v>
      </c>
      <c r="Q10" t="s">
        <v>56</v>
      </c>
      <c r="R10">
        <v>1</v>
      </c>
      <c r="S10">
        <v>1</v>
      </c>
      <c r="T10">
        <v>0.790717600029893</v>
      </c>
      <c r="Y10" t="s">
        <v>14</v>
      </c>
      <c r="Z10">
        <v>1</v>
      </c>
      <c r="AA10">
        <v>1</v>
      </c>
      <c r="AB10">
        <v>0.52764179999940097</v>
      </c>
      <c r="AG10" t="s">
        <v>23</v>
      </c>
      <c r="AH10">
        <v>0</v>
      </c>
      <c r="AI10">
        <v>1</v>
      </c>
      <c r="AJ10">
        <v>3.2122712999698702</v>
      </c>
    </row>
    <row r="11" spans="1:39" x14ac:dyDescent="0.35">
      <c r="A11" t="s">
        <v>10</v>
      </c>
      <c r="B11">
        <v>1</v>
      </c>
      <c r="C11">
        <v>1</v>
      </c>
      <c r="D11">
        <v>0.54579810000723195</v>
      </c>
      <c r="I11" t="s">
        <v>84</v>
      </c>
      <c r="J11">
        <v>1</v>
      </c>
      <c r="K11">
        <v>1</v>
      </c>
      <c r="L11">
        <v>0.99144689994864099</v>
      </c>
      <c r="Q11" t="s">
        <v>14</v>
      </c>
      <c r="R11">
        <v>1</v>
      </c>
      <c r="S11">
        <v>1</v>
      </c>
      <c r="T11">
        <v>0.77301540004555103</v>
      </c>
      <c r="Y11" t="s">
        <v>3</v>
      </c>
      <c r="Z11">
        <v>0</v>
      </c>
      <c r="AA11">
        <v>1</v>
      </c>
      <c r="AB11">
        <v>0.68880309996893596</v>
      </c>
      <c r="AG11" t="s">
        <v>4</v>
      </c>
      <c r="AH11">
        <v>0</v>
      </c>
      <c r="AI11">
        <v>1</v>
      </c>
      <c r="AJ11">
        <v>2.27531200001249</v>
      </c>
    </row>
    <row r="12" spans="1:39" x14ac:dyDescent="0.35">
      <c r="A12" t="s">
        <v>11</v>
      </c>
      <c r="B12">
        <v>1</v>
      </c>
      <c r="C12">
        <v>1</v>
      </c>
      <c r="D12">
        <v>0.43375399999786102</v>
      </c>
      <c r="I12" t="s">
        <v>48</v>
      </c>
      <c r="J12">
        <v>0</v>
      </c>
      <c r="K12">
        <v>0</v>
      </c>
      <c r="L12">
        <v>1.42485229996964</v>
      </c>
      <c r="Q12" t="s">
        <v>64</v>
      </c>
      <c r="R12">
        <v>1</v>
      </c>
      <c r="S12">
        <v>1</v>
      </c>
      <c r="T12">
        <v>0.70399180002277695</v>
      </c>
      <c r="Y12" t="s">
        <v>26</v>
      </c>
      <c r="Z12">
        <v>0</v>
      </c>
      <c r="AA12">
        <v>1</v>
      </c>
      <c r="AB12">
        <v>0.73758359998464496</v>
      </c>
      <c r="AG12" t="s">
        <v>89</v>
      </c>
      <c r="AH12">
        <v>0</v>
      </c>
      <c r="AI12">
        <v>1</v>
      </c>
      <c r="AJ12">
        <v>1.4078880000161</v>
      </c>
    </row>
    <row r="13" spans="1:39" x14ac:dyDescent="0.35">
      <c r="A13" t="s">
        <v>12</v>
      </c>
      <c r="B13">
        <v>1</v>
      </c>
      <c r="C13">
        <v>1</v>
      </c>
      <c r="D13">
        <v>1.0586874000146</v>
      </c>
      <c r="I13" t="s">
        <v>16</v>
      </c>
      <c r="J13">
        <v>0</v>
      </c>
      <c r="K13">
        <v>1</v>
      </c>
      <c r="L13">
        <v>0.78646839997963902</v>
      </c>
      <c r="Q13" t="s">
        <v>95</v>
      </c>
      <c r="R13">
        <v>1</v>
      </c>
      <c r="S13">
        <v>1</v>
      </c>
      <c r="T13">
        <v>0.51603230001637701</v>
      </c>
      <c r="Y13" t="s">
        <v>87</v>
      </c>
      <c r="Z13">
        <v>1</v>
      </c>
      <c r="AA13">
        <v>1</v>
      </c>
      <c r="AB13">
        <v>0.52209590002894402</v>
      </c>
      <c r="AG13" t="s">
        <v>75</v>
      </c>
      <c r="AH13">
        <v>1</v>
      </c>
      <c r="AI13">
        <v>1</v>
      </c>
      <c r="AJ13">
        <v>0.48383199999807402</v>
      </c>
    </row>
    <row r="14" spans="1:39" x14ac:dyDescent="0.35">
      <c r="A14" t="s">
        <v>13</v>
      </c>
      <c r="B14">
        <v>0</v>
      </c>
      <c r="C14">
        <v>1</v>
      </c>
      <c r="D14">
        <v>0.74073489999864195</v>
      </c>
      <c r="I14" t="s">
        <v>25</v>
      </c>
      <c r="J14">
        <v>1</v>
      </c>
      <c r="K14">
        <v>1</v>
      </c>
      <c r="L14">
        <v>1.1001208999659799</v>
      </c>
      <c r="Q14" t="s">
        <v>54</v>
      </c>
      <c r="R14">
        <v>0</v>
      </c>
      <c r="S14">
        <v>1</v>
      </c>
      <c r="T14">
        <v>2.79827629995998</v>
      </c>
      <c r="Y14" t="s">
        <v>64</v>
      </c>
      <c r="Z14">
        <v>1</v>
      </c>
      <c r="AA14">
        <v>1</v>
      </c>
      <c r="AB14">
        <v>0.51621789997443501</v>
      </c>
      <c r="AG14" t="s">
        <v>31</v>
      </c>
      <c r="AH14">
        <v>1</v>
      </c>
      <c r="AI14">
        <v>1</v>
      </c>
      <c r="AJ14">
        <v>0.60373069997876805</v>
      </c>
    </row>
    <row r="15" spans="1:39" x14ac:dyDescent="0.35">
      <c r="A15" t="s">
        <v>14</v>
      </c>
      <c r="B15">
        <v>1</v>
      </c>
      <c r="C15">
        <v>1</v>
      </c>
      <c r="D15">
        <v>0.72786110005108595</v>
      </c>
      <c r="I15" t="s">
        <v>40</v>
      </c>
      <c r="J15">
        <v>1</v>
      </c>
      <c r="K15">
        <v>1</v>
      </c>
      <c r="L15">
        <v>0.78785070002777502</v>
      </c>
      <c r="Q15" t="s">
        <v>40</v>
      </c>
      <c r="R15">
        <v>1</v>
      </c>
      <c r="S15">
        <v>1</v>
      </c>
      <c r="T15">
        <v>0.707678900042083</v>
      </c>
      <c r="Y15" t="s">
        <v>31</v>
      </c>
      <c r="Z15">
        <v>1</v>
      </c>
      <c r="AA15">
        <v>1</v>
      </c>
      <c r="AB15">
        <v>0.56799950002459798</v>
      </c>
      <c r="AG15" t="s">
        <v>25</v>
      </c>
      <c r="AH15">
        <v>1</v>
      </c>
      <c r="AI15">
        <v>1</v>
      </c>
      <c r="AJ15">
        <v>0.94180929998401497</v>
      </c>
    </row>
    <row r="16" spans="1:39" x14ac:dyDescent="0.35">
      <c r="A16" t="s">
        <v>15</v>
      </c>
      <c r="B16">
        <v>1</v>
      </c>
      <c r="C16">
        <v>1</v>
      </c>
      <c r="D16">
        <v>0.85474430001340795</v>
      </c>
      <c r="I16" t="s">
        <v>55</v>
      </c>
      <c r="J16">
        <v>0</v>
      </c>
      <c r="K16">
        <v>1</v>
      </c>
      <c r="L16">
        <v>1.5573571000131701</v>
      </c>
      <c r="Q16" t="s">
        <v>5</v>
      </c>
      <c r="R16">
        <v>1</v>
      </c>
      <c r="S16">
        <v>1</v>
      </c>
      <c r="T16">
        <v>0.76038340001832605</v>
      </c>
      <c r="Y16" t="s">
        <v>77</v>
      </c>
      <c r="Z16">
        <v>0</v>
      </c>
      <c r="AA16">
        <v>1</v>
      </c>
      <c r="AB16">
        <v>1.2603840999654401</v>
      </c>
      <c r="AG16" t="s">
        <v>7</v>
      </c>
      <c r="AH16">
        <v>0</v>
      </c>
      <c r="AI16">
        <v>1</v>
      </c>
      <c r="AJ16">
        <v>1.4102158999885399</v>
      </c>
    </row>
    <row r="17" spans="1:36" x14ac:dyDescent="0.35">
      <c r="A17" t="s">
        <v>16</v>
      </c>
      <c r="B17">
        <v>0</v>
      </c>
      <c r="C17">
        <v>0</v>
      </c>
      <c r="D17">
        <v>0.62217250000685398</v>
      </c>
      <c r="I17" t="s">
        <v>47</v>
      </c>
      <c r="J17">
        <v>0</v>
      </c>
      <c r="K17">
        <v>1</v>
      </c>
      <c r="L17">
        <v>1.5457486999803201</v>
      </c>
      <c r="Q17" t="s">
        <v>76</v>
      </c>
      <c r="R17">
        <v>0</v>
      </c>
      <c r="S17">
        <v>1</v>
      </c>
      <c r="T17">
        <v>1.8828739000018599</v>
      </c>
      <c r="Y17" t="s">
        <v>58</v>
      </c>
      <c r="Z17">
        <v>0</v>
      </c>
      <c r="AA17">
        <v>1</v>
      </c>
      <c r="AB17">
        <v>1.1168827000074</v>
      </c>
      <c r="AG17" t="s">
        <v>60</v>
      </c>
      <c r="AH17">
        <v>0</v>
      </c>
      <c r="AI17">
        <v>1</v>
      </c>
      <c r="AJ17">
        <v>1.5578543000156</v>
      </c>
    </row>
    <row r="18" spans="1:36" x14ac:dyDescent="0.35">
      <c r="A18" t="s">
        <v>17</v>
      </c>
      <c r="B18">
        <v>1</v>
      </c>
      <c r="C18">
        <v>1</v>
      </c>
      <c r="D18">
        <v>0.81278379994910199</v>
      </c>
      <c r="I18" t="s">
        <v>94</v>
      </c>
      <c r="J18">
        <v>1</v>
      </c>
      <c r="K18">
        <v>1</v>
      </c>
      <c r="L18">
        <v>0.829169399978127</v>
      </c>
      <c r="Q18" t="s">
        <v>41</v>
      </c>
      <c r="R18">
        <v>1</v>
      </c>
      <c r="S18">
        <v>1</v>
      </c>
      <c r="T18">
        <v>0.68334390001837098</v>
      </c>
      <c r="Y18" t="s">
        <v>15</v>
      </c>
      <c r="Z18">
        <v>1</v>
      </c>
      <c r="AA18">
        <v>1</v>
      </c>
      <c r="AB18">
        <v>0.50818099995376498</v>
      </c>
      <c r="AG18" t="s">
        <v>81</v>
      </c>
      <c r="AH18">
        <v>1</v>
      </c>
      <c r="AI18">
        <v>1</v>
      </c>
      <c r="AJ18">
        <v>0.58401659998344202</v>
      </c>
    </row>
    <row r="19" spans="1:36" x14ac:dyDescent="0.35">
      <c r="A19" t="s">
        <v>18</v>
      </c>
      <c r="B19">
        <v>0</v>
      </c>
      <c r="C19">
        <v>1</v>
      </c>
      <c r="D19">
        <v>0.664702099980786</v>
      </c>
      <c r="I19" t="s">
        <v>52</v>
      </c>
      <c r="J19">
        <v>0</v>
      </c>
      <c r="K19">
        <v>1</v>
      </c>
      <c r="L19">
        <v>0.92953840002883203</v>
      </c>
      <c r="Q19" t="s">
        <v>34</v>
      </c>
      <c r="R19">
        <v>0</v>
      </c>
      <c r="S19">
        <v>1</v>
      </c>
      <c r="T19">
        <v>1.4332099000457601</v>
      </c>
      <c r="Y19" t="s">
        <v>21</v>
      </c>
      <c r="Z19">
        <v>1</v>
      </c>
      <c r="AA19">
        <v>1</v>
      </c>
      <c r="AB19">
        <v>0.49543260002974399</v>
      </c>
      <c r="AG19" t="s">
        <v>91</v>
      </c>
      <c r="AH19">
        <v>1</v>
      </c>
      <c r="AI19">
        <v>1</v>
      </c>
      <c r="AJ19">
        <v>0.67842139996355399</v>
      </c>
    </row>
    <row r="20" spans="1:36" x14ac:dyDescent="0.35">
      <c r="A20" t="s">
        <v>19</v>
      </c>
      <c r="B20">
        <v>1</v>
      </c>
      <c r="C20">
        <v>1</v>
      </c>
      <c r="D20">
        <v>0.54621640004916105</v>
      </c>
      <c r="I20" t="s">
        <v>75</v>
      </c>
      <c r="J20">
        <v>1</v>
      </c>
      <c r="K20">
        <v>1</v>
      </c>
      <c r="L20">
        <v>1.0292366000358</v>
      </c>
      <c r="Q20" t="s">
        <v>79</v>
      </c>
      <c r="R20">
        <v>1</v>
      </c>
      <c r="S20">
        <v>1</v>
      </c>
      <c r="T20">
        <v>0.61830329999793299</v>
      </c>
      <c r="Y20" t="s">
        <v>83</v>
      </c>
      <c r="Z20">
        <v>0</v>
      </c>
      <c r="AA20">
        <v>1</v>
      </c>
      <c r="AB20">
        <v>0.82459169998764903</v>
      </c>
      <c r="AG20" t="s">
        <v>16</v>
      </c>
      <c r="AH20">
        <v>0</v>
      </c>
      <c r="AI20">
        <v>1</v>
      </c>
      <c r="AJ20">
        <v>3.5051389000145701</v>
      </c>
    </row>
    <row r="21" spans="1:36" x14ac:dyDescent="0.35">
      <c r="A21" t="s">
        <v>20</v>
      </c>
      <c r="B21">
        <v>1</v>
      </c>
      <c r="C21">
        <v>1</v>
      </c>
      <c r="D21">
        <v>0.730299799994099</v>
      </c>
      <c r="I21" t="s">
        <v>43</v>
      </c>
      <c r="J21">
        <v>1</v>
      </c>
      <c r="K21">
        <v>1</v>
      </c>
      <c r="L21">
        <v>0.84615339996525996</v>
      </c>
      <c r="Q21" t="s">
        <v>48</v>
      </c>
      <c r="R21">
        <v>0</v>
      </c>
      <c r="S21">
        <v>0</v>
      </c>
      <c r="T21">
        <v>1.6599898999556899</v>
      </c>
      <c r="Y21" t="s">
        <v>49</v>
      </c>
      <c r="Z21">
        <v>0</v>
      </c>
      <c r="AA21">
        <v>1</v>
      </c>
      <c r="AB21">
        <v>0.77967910002916996</v>
      </c>
      <c r="AG21" t="s">
        <v>19</v>
      </c>
      <c r="AH21">
        <v>1</v>
      </c>
      <c r="AI21">
        <v>1</v>
      </c>
      <c r="AJ21">
        <v>0.77172910002991502</v>
      </c>
    </row>
    <row r="22" spans="1:36" x14ac:dyDescent="0.35">
      <c r="A22" t="s">
        <v>21</v>
      </c>
      <c r="B22">
        <v>1</v>
      </c>
      <c r="C22">
        <v>1</v>
      </c>
      <c r="D22">
        <v>0.51167140004690703</v>
      </c>
      <c r="I22" t="s">
        <v>37</v>
      </c>
      <c r="J22">
        <v>0</v>
      </c>
      <c r="K22">
        <v>1</v>
      </c>
      <c r="L22">
        <v>1.0102437000023201</v>
      </c>
      <c r="Q22" t="s">
        <v>43</v>
      </c>
      <c r="R22">
        <v>1</v>
      </c>
      <c r="S22">
        <v>1</v>
      </c>
      <c r="T22">
        <v>0.62736130005214297</v>
      </c>
      <c r="Y22" t="s">
        <v>68</v>
      </c>
      <c r="Z22">
        <v>1</v>
      </c>
      <c r="AA22">
        <v>1</v>
      </c>
      <c r="AB22">
        <v>0.70002609997754905</v>
      </c>
      <c r="AG22" t="s">
        <v>65</v>
      </c>
      <c r="AH22">
        <v>0</v>
      </c>
      <c r="AI22">
        <v>1</v>
      </c>
      <c r="AJ22">
        <v>0.881989400018937</v>
      </c>
    </row>
    <row r="23" spans="1:36" x14ac:dyDescent="0.35">
      <c r="A23" t="s">
        <v>22</v>
      </c>
      <c r="B23">
        <v>1</v>
      </c>
      <c r="C23">
        <v>1</v>
      </c>
      <c r="D23">
        <v>0.557543499977327</v>
      </c>
      <c r="I23" t="s">
        <v>49</v>
      </c>
      <c r="J23">
        <v>0</v>
      </c>
      <c r="K23">
        <v>1</v>
      </c>
      <c r="L23">
        <v>0.92668620002223101</v>
      </c>
      <c r="Q23" t="s">
        <v>68</v>
      </c>
      <c r="R23">
        <v>1</v>
      </c>
      <c r="S23">
        <v>1</v>
      </c>
      <c r="T23">
        <v>0.42311869998229601</v>
      </c>
      <c r="Y23" t="s">
        <v>16</v>
      </c>
      <c r="Z23">
        <v>0</v>
      </c>
      <c r="AA23">
        <v>1</v>
      </c>
      <c r="AB23">
        <v>0.73724450002191499</v>
      </c>
      <c r="AG23" t="s">
        <v>63</v>
      </c>
      <c r="AH23">
        <v>0</v>
      </c>
      <c r="AI23">
        <v>1</v>
      </c>
      <c r="AJ23">
        <v>1.0632188000017699</v>
      </c>
    </row>
    <row r="24" spans="1:36" x14ac:dyDescent="0.35">
      <c r="A24" t="s">
        <v>23</v>
      </c>
      <c r="B24">
        <v>0</v>
      </c>
      <c r="C24">
        <v>1</v>
      </c>
      <c r="D24">
        <v>0.64084169996203799</v>
      </c>
      <c r="I24" t="s">
        <v>26</v>
      </c>
      <c r="J24">
        <v>0</v>
      </c>
      <c r="K24">
        <v>1</v>
      </c>
      <c r="L24">
        <v>0.91215749998809703</v>
      </c>
      <c r="Q24" t="s">
        <v>21</v>
      </c>
      <c r="R24">
        <v>1</v>
      </c>
      <c r="S24">
        <v>1</v>
      </c>
      <c r="T24">
        <v>0.71282849996350695</v>
      </c>
      <c r="Y24" t="s">
        <v>44</v>
      </c>
      <c r="Z24">
        <v>1</v>
      </c>
      <c r="AA24">
        <v>1</v>
      </c>
      <c r="AB24">
        <v>0.618511500011663</v>
      </c>
      <c r="AG24" t="s">
        <v>88</v>
      </c>
      <c r="AH24">
        <v>1</v>
      </c>
      <c r="AI24">
        <v>1</v>
      </c>
      <c r="AJ24">
        <v>0.71572590002324399</v>
      </c>
    </row>
    <row r="25" spans="1:36" x14ac:dyDescent="0.35">
      <c r="A25" t="s">
        <v>24</v>
      </c>
      <c r="B25">
        <v>1</v>
      </c>
      <c r="C25">
        <v>1</v>
      </c>
      <c r="D25">
        <v>0.50991339999018204</v>
      </c>
      <c r="I25" t="s">
        <v>17</v>
      </c>
      <c r="J25">
        <v>1</v>
      </c>
      <c r="K25">
        <v>1</v>
      </c>
      <c r="L25">
        <v>0.64489260001573701</v>
      </c>
      <c r="Q25" t="s">
        <v>15</v>
      </c>
      <c r="R25">
        <v>1</v>
      </c>
      <c r="S25">
        <v>1</v>
      </c>
      <c r="T25">
        <v>0.448752500000409</v>
      </c>
      <c r="Y25" t="s">
        <v>4</v>
      </c>
      <c r="Z25">
        <v>0</v>
      </c>
      <c r="AA25">
        <v>1</v>
      </c>
      <c r="AB25">
        <v>1.0625557000166701</v>
      </c>
      <c r="AG25" t="s">
        <v>85</v>
      </c>
      <c r="AH25">
        <v>1</v>
      </c>
      <c r="AI25">
        <v>1</v>
      </c>
      <c r="AJ25">
        <v>0.93721330002881498</v>
      </c>
    </row>
    <row r="26" spans="1:36" x14ac:dyDescent="0.35">
      <c r="A26" t="s">
        <v>25</v>
      </c>
      <c r="B26">
        <v>1</v>
      </c>
      <c r="C26">
        <v>1</v>
      </c>
      <c r="D26">
        <v>1.07692650001263</v>
      </c>
      <c r="I26" t="s">
        <v>79</v>
      </c>
      <c r="J26">
        <v>1</v>
      </c>
      <c r="K26">
        <v>1</v>
      </c>
      <c r="L26">
        <v>0.63318940001772706</v>
      </c>
      <c r="Q26" t="s">
        <v>47</v>
      </c>
      <c r="R26">
        <v>0</v>
      </c>
      <c r="S26">
        <v>0</v>
      </c>
      <c r="T26">
        <v>0.37809230003040201</v>
      </c>
      <c r="Y26" t="s">
        <v>40</v>
      </c>
      <c r="Z26">
        <v>1</v>
      </c>
      <c r="AA26">
        <v>1</v>
      </c>
      <c r="AB26">
        <v>0.87583979999180805</v>
      </c>
      <c r="AG26" t="s">
        <v>54</v>
      </c>
      <c r="AH26">
        <v>0</v>
      </c>
      <c r="AI26">
        <v>1</v>
      </c>
      <c r="AJ26">
        <v>0.87241499999072403</v>
      </c>
    </row>
    <row r="27" spans="1:36" x14ac:dyDescent="0.35">
      <c r="A27" t="s">
        <v>26</v>
      </c>
      <c r="B27">
        <v>0</v>
      </c>
      <c r="C27">
        <v>0</v>
      </c>
      <c r="D27">
        <v>0.562019100005272</v>
      </c>
      <c r="I27" t="s">
        <v>29</v>
      </c>
      <c r="J27">
        <v>1</v>
      </c>
      <c r="K27">
        <v>1</v>
      </c>
      <c r="L27">
        <v>0.60590490000322395</v>
      </c>
      <c r="Q27" t="s">
        <v>92</v>
      </c>
      <c r="R27">
        <v>0</v>
      </c>
      <c r="S27">
        <v>1</v>
      </c>
      <c r="T27">
        <v>0.85877429996617105</v>
      </c>
      <c r="Y27" t="s">
        <v>23</v>
      </c>
      <c r="Z27">
        <v>0</v>
      </c>
      <c r="AA27">
        <v>1</v>
      </c>
      <c r="AB27">
        <v>0.58522980002453495</v>
      </c>
      <c r="AG27" t="s">
        <v>27</v>
      </c>
      <c r="AH27">
        <v>0</v>
      </c>
      <c r="AI27">
        <v>1</v>
      </c>
      <c r="AJ27">
        <v>2.59892760001821</v>
      </c>
    </row>
    <row r="28" spans="1:36" x14ac:dyDescent="0.35">
      <c r="A28" t="s">
        <v>27</v>
      </c>
      <c r="B28">
        <v>0</v>
      </c>
      <c r="C28">
        <v>0</v>
      </c>
      <c r="D28">
        <v>1.06835459999274</v>
      </c>
      <c r="I28" t="s">
        <v>15</v>
      </c>
      <c r="J28">
        <v>1</v>
      </c>
      <c r="K28">
        <v>0</v>
      </c>
      <c r="L28">
        <v>0.76780460000736594</v>
      </c>
      <c r="Q28" t="s">
        <v>61</v>
      </c>
      <c r="R28">
        <v>1</v>
      </c>
      <c r="S28">
        <v>1</v>
      </c>
      <c r="T28">
        <v>0.65599380002822705</v>
      </c>
      <c r="Y28" t="s">
        <v>37</v>
      </c>
      <c r="Z28">
        <v>0</v>
      </c>
      <c r="AA28">
        <v>1</v>
      </c>
      <c r="AB28">
        <v>0.69862019998254199</v>
      </c>
      <c r="AG28" t="s">
        <v>98</v>
      </c>
      <c r="AH28">
        <v>0</v>
      </c>
      <c r="AI28">
        <v>1</v>
      </c>
      <c r="AJ28">
        <v>0.81231130001833596</v>
      </c>
    </row>
    <row r="29" spans="1:36" x14ac:dyDescent="0.35">
      <c r="A29" t="s">
        <v>28</v>
      </c>
      <c r="B29">
        <v>0</v>
      </c>
      <c r="C29">
        <v>0</v>
      </c>
      <c r="D29">
        <v>1.07400290004443</v>
      </c>
      <c r="I29" t="s">
        <v>76</v>
      </c>
      <c r="J29">
        <v>0</v>
      </c>
      <c r="K29">
        <v>0</v>
      </c>
      <c r="L29">
        <v>0.64706260000821203</v>
      </c>
      <c r="Q29" t="s">
        <v>23</v>
      </c>
      <c r="R29">
        <v>0</v>
      </c>
      <c r="S29">
        <v>1</v>
      </c>
      <c r="T29">
        <v>1.05944290000479</v>
      </c>
      <c r="Y29" t="s">
        <v>63</v>
      </c>
      <c r="Z29">
        <v>0</v>
      </c>
      <c r="AA29">
        <v>1</v>
      </c>
      <c r="AB29">
        <v>0.58345239999471199</v>
      </c>
      <c r="AG29" t="s">
        <v>9</v>
      </c>
      <c r="AH29">
        <v>1</v>
      </c>
      <c r="AI29">
        <v>1</v>
      </c>
      <c r="AJ29">
        <v>0.65502870001364499</v>
      </c>
    </row>
    <row r="30" spans="1:36" x14ac:dyDescent="0.35">
      <c r="A30" t="s">
        <v>29</v>
      </c>
      <c r="B30">
        <v>1</v>
      </c>
      <c r="C30">
        <v>1</v>
      </c>
      <c r="D30">
        <v>0.67925069999182597</v>
      </c>
      <c r="I30" t="s">
        <v>91</v>
      </c>
      <c r="J30">
        <v>1</v>
      </c>
      <c r="K30">
        <v>1</v>
      </c>
      <c r="L30">
        <v>2.2121401000185799</v>
      </c>
      <c r="Q30" t="s">
        <v>55</v>
      </c>
      <c r="R30">
        <v>0</v>
      </c>
      <c r="S30">
        <v>0</v>
      </c>
      <c r="T30">
        <v>0.47060260002035598</v>
      </c>
      <c r="Y30" t="s">
        <v>54</v>
      </c>
      <c r="Z30">
        <v>0</v>
      </c>
      <c r="AA30">
        <v>1</v>
      </c>
      <c r="AB30">
        <v>0.48874780000187401</v>
      </c>
      <c r="AG30" t="s">
        <v>96</v>
      </c>
      <c r="AH30">
        <v>1</v>
      </c>
      <c r="AI30">
        <v>1</v>
      </c>
      <c r="AJ30">
        <v>0.90722860000096195</v>
      </c>
    </row>
    <row r="31" spans="1:36" x14ac:dyDescent="0.35">
      <c r="A31" t="s">
        <v>30</v>
      </c>
      <c r="B31">
        <v>0</v>
      </c>
      <c r="C31">
        <v>1</v>
      </c>
      <c r="D31">
        <v>0.66047689999686499</v>
      </c>
      <c r="I31" t="s">
        <v>13</v>
      </c>
      <c r="J31">
        <v>0</v>
      </c>
      <c r="K31">
        <v>1</v>
      </c>
      <c r="L31">
        <v>1.06308489997172</v>
      </c>
      <c r="Q31" t="s">
        <v>88</v>
      </c>
      <c r="R31">
        <v>1</v>
      </c>
      <c r="S31">
        <v>1</v>
      </c>
      <c r="T31">
        <v>0.84612669999478296</v>
      </c>
      <c r="Y31" t="s">
        <v>94</v>
      </c>
      <c r="Z31">
        <v>1</v>
      </c>
      <c r="AA31">
        <v>1</v>
      </c>
      <c r="AB31">
        <v>0.56278919999022003</v>
      </c>
      <c r="AG31" t="s">
        <v>70</v>
      </c>
      <c r="AH31">
        <v>1</v>
      </c>
      <c r="AI31">
        <v>1</v>
      </c>
      <c r="AJ31">
        <v>0.93403850001050104</v>
      </c>
    </row>
    <row r="32" spans="1:36" x14ac:dyDescent="0.35">
      <c r="A32" t="s">
        <v>31</v>
      </c>
      <c r="B32">
        <v>1</v>
      </c>
      <c r="C32">
        <v>1</v>
      </c>
      <c r="D32">
        <v>0.58525399997597505</v>
      </c>
      <c r="I32" t="s">
        <v>95</v>
      </c>
      <c r="J32">
        <v>1</v>
      </c>
      <c r="K32">
        <v>1</v>
      </c>
      <c r="L32">
        <v>0.72123510000528701</v>
      </c>
      <c r="Q32" t="s">
        <v>52</v>
      </c>
      <c r="R32">
        <v>0</v>
      </c>
      <c r="S32">
        <v>1</v>
      </c>
      <c r="T32">
        <v>1.3436329999822101</v>
      </c>
      <c r="Y32" t="s">
        <v>17</v>
      </c>
      <c r="Z32">
        <v>1</v>
      </c>
      <c r="AA32">
        <v>1</v>
      </c>
      <c r="AB32">
        <v>0.47931219998281399</v>
      </c>
      <c r="AG32" t="s">
        <v>39</v>
      </c>
      <c r="AH32">
        <v>0</v>
      </c>
      <c r="AI32">
        <v>1</v>
      </c>
      <c r="AJ32">
        <v>1.69898260000627</v>
      </c>
    </row>
    <row r="33" spans="1:36" x14ac:dyDescent="0.35">
      <c r="A33" t="s">
        <v>32</v>
      </c>
      <c r="B33">
        <v>1</v>
      </c>
      <c r="C33">
        <v>1</v>
      </c>
      <c r="D33">
        <v>0.52203649998409596</v>
      </c>
      <c r="I33" t="s">
        <v>22</v>
      </c>
      <c r="J33">
        <v>1</v>
      </c>
      <c r="K33">
        <v>1</v>
      </c>
      <c r="L33">
        <v>0.87208749999990598</v>
      </c>
      <c r="Q33" t="s">
        <v>12</v>
      </c>
      <c r="R33">
        <v>1</v>
      </c>
      <c r="S33">
        <v>1</v>
      </c>
      <c r="T33">
        <v>0.84778549999464303</v>
      </c>
      <c r="Y33" t="s">
        <v>32</v>
      </c>
      <c r="Z33">
        <v>1</v>
      </c>
      <c r="AA33">
        <v>1</v>
      </c>
      <c r="AB33">
        <v>0.44126480002887503</v>
      </c>
      <c r="AG33" t="s">
        <v>21</v>
      </c>
      <c r="AH33">
        <v>1</v>
      </c>
      <c r="AI33">
        <v>1</v>
      </c>
      <c r="AJ33">
        <v>0.92731769999954805</v>
      </c>
    </row>
    <row r="34" spans="1:36" x14ac:dyDescent="0.35">
      <c r="A34" t="s">
        <v>33</v>
      </c>
      <c r="B34">
        <v>1</v>
      </c>
      <c r="C34">
        <v>1</v>
      </c>
      <c r="D34">
        <v>1.0662744999863201</v>
      </c>
      <c r="I34" t="s">
        <v>93</v>
      </c>
      <c r="J34">
        <v>0</v>
      </c>
      <c r="K34">
        <v>1</v>
      </c>
      <c r="L34">
        <v>0.69711950002238099</v>
      </c>
      <c r="Q34" t="s">
        <v>33</v>
      </c>
      <c r="R34">
        <v>1</v>
      </c>
      <c r="S34">
        <v>1</v>
      </c>
      <c r="T34">
        <v>0.76256679999641996</v>
      </c>
      <c r="Y34" t="s">
        <v>55</v>
      </c>
      <c r="Z34">
        <v>0</v>
      </c>
      <c r="AA34">
        <v>1</v>
      </c>
      <c r="AB34">
        <v>0.57914540002821002</v>
      </c>
      <c r="AG34" t="s">
        <v>14</v>
      </c>
      <c r="AH34">
        <v>1</v>
      </c>
      <c r="AI34">
        <v>1</v>
      </c>
      <c r="AJ34">
        <v>0.86325709999073297</v>
      </c>
    </row>
    <row r="35" spans="1:36" x14ac:dyDescent="0.35">
      <c r="A35" t="s">
        <v>34</v>
      </c>
      <c r="B35">
        <v>0</v>
      </c>
      <c r="C35">
        <v>0</v>
      </c>
      <c r="D35">
        <v>1.03451219998532</v>
      </c>
      <c r="I35" t="s">
        <v>5</v>
      </c>
      <c r="J35">
        <v>1</v>
      </c>
      <c r="K35">
        <v>1</v>
      </c>
      <c r="L35">
        <v>0.64576289994874903</v>
      </c>
      <c r="Q35" t="s">
        <v>59</v>
      </c>
      <c r="R35">
        <v>1</v>
      </c>
      <c r="S35">
        <v>1</v>
      </c>
      <c r="T35">
        <v>0.46939369995379798</v>
      </c>
      <c r="Y35" t="s">
        <v>35</v>
      </c>
      <c r="Z35">
        <v>0</v>
      </c>
      <c r="AA35">
        <v>1</v>
      </c>
      <c r="AB35">
        <v>0.85922929999651299</v>
      </c>
      <c r="AG35" t="s">
        <v>52</v>
      </c>
      <c r="AH35">
        <v>0</v>
      </c>
      <c r="AI35">
        <v>1</v>
      </c>
      <c r="AJ35">
        <v>1.1316073000198199</v>
      </c>
    </row>
    <row r="36" spans="1:36" x14ac:dyDescent="0.35">
      <c r="A36" t="s">
        <v>35</v>
      </c>
      <c r="B36">
        <v>0</v>
      </c>
      <c r="C36">
        <v>1</v>
      </c>
      <c r="D36">
        <v>0.86762420000741203</v>
      </c>
      <c r="I36" t="s">
        <v>30</v>
      </c>
      <c r="J36">
        <v>0</v>
      </c>
      <c r="K36">
        <v>1</v>
      </c>
      <c r="L36">
        <v>0.68970650003757294</v>
      </c>
      <c r="Q36" t="s">
        <v>4</v>
      </c>
      <c r="R36">
        <v>0</v>
      </c>
      <c r="S36">
        <v>1</v>
      </c>
      <c r="T36">
        <v>1.66850420000264</v>
      </c>
      <c r="Y36" t="s">
        <v>10</v>
      </c>
      <c r="Z36">
        <v>1</v>
      </c>
      <c r="AA36">
        <v>1</v>
      </c>
      <c r="AB36">
        <v>0.58038530003977895</v>
      </c>
      <c r="AG36" t="s">
        <v>44</v>
      </c>
      <c r="AH36">
        <v>1</v>
      </c>
      <c r="AI36">
        <v>1</v>
      </c>
      <c r="AJ36">
        <v>0.74695350002730199</v>
      </c>
    </row>
    <row r="37" spans="1:36" x14ac:dyDescent="0.35">
      <c r="A37" t="s">
        <v>36</v>
      </c>
      <c r="B37">
        <v>1</v>
      </c>
      <c r="C37">
        <v>1</v>
      </c>
      <c r="D37">
        <v>0.54827379999915105</v>
      </c>
      <c r="I37" t="s">
        <v>97</v>
      </c>
      <c r="J37">
        <v>1</v>
      </c>
      <c r="K37">
        <v>1</v>
      </c>
      <c r="L37">
        <v>0.579703999974299</v>
      </c>
      <c r="Q37" t="s">
        <v>37</v>
      </c>
      <c r="R37">
        <v>0</v>
      </c>
      <c r="S37">
        <v>1</v>
      </c>
      <c r="T37">
        <v>1.3456209999858399</v>
      </c>
      <c r="Y37" t="s">
        <v>101</v>
      </c>
      <c r="Z37">
        <v>0</v>
      </c>
      <c r="AA37">
        <v>1</v>
      </c>
      <c r="AB37">
        <v>0.67722479999065399</v>
      </c>
      <c r="AG37" t="s">
        <v>42</v>
      </c>
      <c r="AH37">
        <v>0</v>
      </c>
      <c r="AI37">
        <v>0</v>
      </c>
      <c r="AJ37">
        <v>1.15593340003397</v>
      </c>
    </row>
    <row r="38" spans="1:36" x14ac:dyDescent="0.35">
      <c r="A38" t="s">
        <v>37</v>
      </c>
      <c r="B38">
        <v>0</v>
      </c>
      <c r="C38">
        <v>1</v>
      </c>
      <c r="D38">
        <v>0.936782100005075</v>
      </c>
      <c r="I38" t="s">
        <v>78</v>
      </c>
      <c r="J38">
        <v>1</v>
      </c>
      <c r="K38">
        <v>0</v>
      </c>
      <c r="L38">
        <v>0.72947409999323998</v>
      </c>
      <c r="Q38" t="s">
        <v>58</v>
      </c>
      <c r="R38">
        <v>0</v>
      </c>
      <c r="S38">
        <v>0</v>
      </c>
      <c r="T38">
        <v>1.7287686000345199</v>
      </c>
      <c r="Y38" t="s">
        <v>61</v>
      </c>
      <c r="Z38">
        <v>1</v>
      </c>
      <c r="AA38">
        <v>1</v>
      </c>
      <c r="AB38">
        <v>0.87736059998860505</v>
      </c>
      <c r="AG38" t="s">
        <v>61</v>
      </c>
      <c r="AH38">
        <v>1</v>
      </c>
      <c r="AI38">
        <v>1</v>
      </c>
      <c r="AJ38">
        <v>3.7993117000441998</v>
      </c>
    </row>
    <row r="39" spans="1:36" x14ac:dyDescent="0.35">
      <c r="A39" t="s">
        <v>38</v>
      </c>
      <c r="B39">
        <v>1</v>
      </c>
      <c r="C39">
        <v>1</v>
      </c>
      <c r="D39">
        <v>0.54601220000768003</v>
      </c>
      <c r="I39" t="s">
        <v>11</v>
      </c>
      <c r="J39">
        <v>1</v>
      </c>
      <c r="K39">
        <v>1</v>
      </c>
      <c r="L39">
        <v>1.01479569997172</v>
      </c>
      <c r="Q39" t="s">
        <v>65</v>
      </c>
      <c r="R39">
        <v>0</v>
      </c>
      <c r="S39">
        <v>0</v>
      </c>
      <c r="T39">
        <v>1.60600420000264</v>
      </c>
      <c r="Y39" t="s">
        <v>61</v>
      </c>
      <c r="Z39">
        <v>1</v>
      </c>
      <c r="AA39">
        <v>1</v>
      </c>
      <c r="AB39">
        <v>0.44335459999274401</v>
      </c>
      <c r="AG39" t="s">
        <v>72</v>
      </c>
      <c r="AH39">
        <v>1</v>
      </c>
      <c r="AI39">
        <v>1</v>
      </c>
      <c r="AJ39">
        <v>1.5078478999785101</v>
      </c>
    </row>
    <row r="40" spans="1:36" x14ac:dyDescent="0.35">
      <c r="A40" t="s">
        <v>39</v>
      </c>
      <c r="B40">
        <v>0</v>
      </c>
      <c r="C40">
        <v>1</v>
      </c>
      <c r="D40">
        <v>0.82060729997465298</v>
      </c>
      <c r="I40" t="s">
        <v>101</v>
      </c>
      <c r="J40">
        <v>0</v>
      </c>
      <c r="K40">
        <v>1</v>
      </c>
      <c r="L40">
        <v>0.80280020000645802</v>
      </c>
      <c r="Q40" t="s">
        <v>96</v>
      </c>
      <c r="R40">
        <v>1</v>
      </c>
      <c r="S40">
        <v>0</v>
      </c>
      <c r="T40">
        <v>0.65178039995953396</v>
      </c>
      <c r="Y40" t="s">
        <v>30</v>
      </c>
      <c r="Z40">
        <v>0</v>
      </c>
      <c r="AA40">
        <v>1</v>
      </c>
      <c r="AB40">
        <v>0.66573350003454801</v>
      </c>
      <c r="AG40" t="s">
        <v>57</v>
      </c>
      <c r="AH40">
        <v>0</v>
      </c>
      <c r="AI40">
        <v>1</v>
      </c>
      <c r="AJ40">
        <v>1.00034150003921</v>
      </c>
    </row>
    <row r="41" spans="1:36" x14ac:dyDescent="0.35">
      <c r="A41" t="s">
        <v>40</v>
      </c>
      <c r="B41">
        <v>1</v>
      </c>
      <c r="C41">
        <v>1</v>
      </c>
      <c r="D41">
        <v>0.61232529999688201</v>
      </c>
      <c r="I41" t="s">
        <v>85</v>
      </c>
      <c r="J41">
        <v>1</v>
      </c>
      <c r="K41">
        <v>1</v>
      </c>
      <c r="L41">
        <v>1.2350191000150501</v>
      </c>
      <c r="Q41" t="s">
        <v>29</v>
      </c>
      <c r="R41">
        <v>1</v>
      </c>
      <c r="S41">
        <v>1</v>
      </c>
      <c r="T41">
        <v>1.8133630999946</v>
      </c>
      <c r="Y41" t="s">
        <v>78</v>
      </c>
      <c r="Z41">
        <v>1</v>
      </c>
      <c r="AA41">
        <v>1</v>
      </c>
      <c r="AB41">
        <v>0.53336070000659597</v>
      </c>
      <c r="AG41" t="s">
        <v>83</v>
      </c>
      <c r="AH41">
        <v>0</v>
      </c>
      <c r="AI41">
        <v>1</v>
      </c>
      <c r="AJ41">
        <v>0.85761499998625301</v>
      </c>
    </row>
    <row r="42" spans="1:36" x14ac:dyDescent="0.35">
      <c r="A42" t="s">
        <v>41</v>
      </c>
      <c r="B42">
        <v>1</v>
      </c>
      <c r="C42">
        <v>1</v>
      </c>
      <c r="D42">
        <v>1.08853169996291</v>
      </c>
      <c r="I42" t="s">
        <v>98</v>
      </c>
      <c r="J42">
        <v>0</v>
      </c>
      <c r="K42">
        <v>1</v>
      </c>
      <c r="L42">
        <v>0.98336330003803596</v>
      </c>
      <c r="Q42" t="s">
        <v>35</v>
      </c>
      <c r="R42">
        <v>0</v>
      </c>
      <c r="S42">
        <v>0</v>
      </c>
      <c r="T42">
        <v>1.3284564999630599</v>
      </c>
      <c r="Y42" t="s">
        <v>79</v>
      </c>
      <c r="Z42">
        <v>1</v>
      </c>
      <c r="AA42">
        <v>1</v>
      </c>
      <c r="AB42">
        <v>0.49242249998496801</v>
      </c>
      <c r="AG42" t="s">
        <v>86</v>
      </c>
      <c r="AH42">
        <v>0</v>
      </c>
      <c r="AI42">
        <v>1</v>
      </c>
      <c r="AJ42">
        <v>0.89413909998256702</v>
      </c>
    </row>
    <row r="43" spans="1:36" x14ac:dyDescent="0.35">
      <c r="A43" t="s">
        <v>42</v>
      </c>
      <c r="B43">
        <v>0</v>
      </c>
      <c r="C43">
        <v>1</v>
      </c>
      <c r="D43">
        <v>0.62667159998090904</v>
      </c>
      <c r="I43" t="s">
        <v>39</v>
      </c>
      <c r="J43">
        <v>0</v>
      </c>
      <c r="K43">
        <v>1</v>
      </c>
      <c r="L43">
        <v>0.70138670003507197</v>
      </c>
      <c r="Q43" t="s">
        <v>24</v>
      </c>
      <c r="R43">
        <v>1</v>
      </c>
      <c r="S43">
        <v>1</v>
      </c>
      <c r="T43">
        <v>1.0491214999928999</v>
      </c>
      <c r="Y43" t="s">
        <v>18</v>
      </c>
      <c r="Z43">
        <v>0</v>
      </c>
      <c r="AA43">
        <v>0</v>
      </c>
      <c r="AB43">
        <v>0.53580539999529697</v>
      </c>
      <c r="AG43" t="s">
        <v>32</v>
      </c>
      <c r="AH43">
        <v>1</v>
      </c>
      <c r="AI43">
        <v>1</v>
      </c>
      <c r="AJ43">
        <v>0.72418030002154399</v>
      </c>
    </row>
    <row r="44" spans="1:36" x14ac:dyDescent="0.35">
      <c r="A44" t="s">
        <v>43</v>
      </c>
      <c r="B44">
        <v>1</v>
      </c>
      <c r="C44">
        <v>1</v>
      </c>
      <c r="D44">
        <v>0.37687870004447099</v>
      </c>
      <c r="I44" t="s">
        <v>54</v>
      </c>
      <c r="J44">
        <v>0</v>
      </c>
      <c r="K44">
        <v>1</v>
      </c>
      <c r="L44">
        <v>0.57661499996902399</v>
      </c>
      <c r="Q44" t="s">
        <v>53</v>
      </c>
      <c r="R44">
        <v>0</v>
      </c>
      <c r="S44">
        <v>1</v>
      </c>
      <c r="T44">
        <v>0.93920970003819004</v>
      </c>
      <c r="Y44" t="s">
        <v>42</v>
      </c>
      <c r="Z44">
        <v>0</v>
      </c>
      <c r="AA44">
        <v>1</v>
      </c>
      <c r="AB44">
        <v>1.9767018000129599</v>
      </c>
      <c r="AG44" t="s">
        <v>50</v>
      </c>
      <c r="AH44">
        <v>0</v>
      </c>
      <c r="AI44">
        <v>1</v>
      </c>
      <c r="AJ44">
        <v>1.2814835999742999</v>
      </c>
    </row>
    <row r="45" spans="1:36" x14ac:dyDescent="0.35">
      <c r="A45" t="s">
        <v>44</v>
      </c>
      <c r="B45">
        <v>1</v>
      </c>
      <c r="C45">
        <v>0</v>
      </c>
      <c r="D45">
        <v>0.53700010001193699</v>
      </c>
      <c r="I45" t="s">
        <v>14</v>
      </c>
      <c r="J45">
        <v>1</v>
      </c>
      <c r="K45">
        <v>1</v>
      </c>
      <c r="L45">
        <v>0.622787999978754</v>
      </c>
      <c r="Q45" t="s">
        <v>78</v>
      </c>
      <c r="R45">
        <v>1</v>
      </c>
      <c r="S45">
        <v>1</v>
      </c>
      <c r="T45">
        <v>0.97314429999096297</v>
      </c>
      <c r="Y45" t="s">
        <v>27</v>
      </c>
      <c r="Z45">
        <v>0</v>
      </c>
      <c r="AA45">
        <v>1</v>
      </c>
      <c r="AB45">
        <v>0.90129149996209801</v>
      </c>
      <c r="AG45" t="s">
        <v>40</v>
      </c>
      <c r="AH45">
        <v>1</v>
      </c>
      <c r="AI45">
        <v>1</v>
      </c>
      <c r="AJ45">
        <v>0.69275340001331598</v>
      </c>
    </row>
    <row r="46" spans="1:36" x14ac:dyDescent="0.35">
      <c r="A46" t="s">
        <v>45</v>
      </c>
      <c r="B46">
        <v>1</v>
      </c>
      <c r="C46">
        <v>1</v>
      </c>
      <c r="D46">
        <v>0.79080070002237302</v>
      </c>
      <c r="I46" t="s">
        <v>18</v>
      </c>
      <c r="J46">
        <v>0</v>
      </c>
      <c r="K46">
        <v>1</v>
      </c>
      <c r="L46">
        <v>0.81697470002109096</v>
      </c>
      <c r="Q46" t="s">
        <v>57</v>
      </c>
      <c r="R46">
        <v>0</v>
      </c>
      <c r="S46">
        <v>1</v>
      </c>
      <c r="T46">
        <v>1.16288279998116</v>
      </c>
      <c r="Y46" t="s">
        <v>51</v>
      </c>
      <c r="Z46">
        <v>1</v>
      </c>
      <c r="AA46">
        <v>1</v>
      </c>
      <c r="AB46">
        <v>0.56052239995915398</v>
      </c>
      <c r="AG46" t="s">
        <v>101</v>
      </c>
      <c r="AH46">
        <v>0</v>
      </c>
      <c r="AI46">
        <v>1</v>
      </c>
      <c r="AJ46">
        <v>0.95763580000493598</v>
      </c>
    </row>
    <row r="47" spans="1:36" x14ac:dyDescent="0.35">
      <c r="A47" t="s">
        <v>46</v>
      </c>
      <c r="B47">
        <v>1</v>
      </c>
      <c r="C47">
        <v>1</v>
      </c>
      <c r="D47">
        <v>0.52135019999695897</v>
      </c>
      <c r="I47" t="s">
        <v>8</v>
      </c>
      <c r="J47">
        <v>0</v>
      </c>
      <c r="K47">
        <v>1</v>
      </c>
      <c r="L47">
        <v>0.60352920001605503</v>
      </c>
      <c r="Q47" t="s">
        <v>84</v>
      </c>
      <c r="R47">
        <v>1</v>
      </c>
      <c r="S47">
        <v>1</v>
      </c>
      <c r="T47">
        <v>0.57925499998964303</v>
      </c>
      <c r="Y47" t="s">
        <v>69</v>
      </c>
      <c r="Z47">
        <v>0</v>
      </c>
      <c r="AA47">
        <v>1</v>
      </c>
      <c r="AB47">
        <v>0.55055610003182598</v>
      </c>
      <c r="AG47" t="s">
        <v>15</v>
      </c>
      <c r="AH47">
        <v>1</v>
      </c>
      <c r="AI47">
        <v>1</v>
      </c>
      <c r="AJ47">
        <v>0.99918789998628199</v>
      </c>
    </row>
    <row r="48" spans="1:36" x14ac:dyDescent="0.35">
      <c r="A48" t="s">
        <v>47</v>
      </c>
      <c r="B48">
        <v>0</v>
      </c>
      <c r="C48">
        <v>0</v>
      </c>
      <c r="D48">
        <v>0.34977559995604601</v>
      </c>
      <c r="I48" t="s">
        <v>42</v>
      </c>
      <c r="J48">
        <v>0</v>
      </c>
      <c r="K48">
        <v>1</v>
      </c>
      <c r="L48">
        <v>0.49548819998744797</v>
      </c>
      <c r="Q48" t="s">
        <v>89</v>
      </c>
      <c r="R48">
        <v>0</v>
      </c>
      <c r="S48">
        <v>1</v>
      </c>
      <c r="T48">
        <v>0.94073550001485196</v>
      </c>
      <c r="Y48" t="s">
        <v>72</v>
      </c>
      <c r="Z48">
        <v>1</v>
      </c>
      <c r="AA48">
        <v>1</v>
      </c>
      <c r="AB48">
        <v>1.0791781999869201</v>
      </c>
      <c r="AG48" t="s">
        <v>53</v>
      </c>
      <c r="AH48">
        <v>0</v>
      </c>
      <c r="AI48">
        <v>1</v>
      </c>
      <c r="AJ48">
        <v>0.94865390000631999</v>
      </c>
    </row>
    <row r="49" spans="1:36" x14ac:dyDescent="0.35">
      <c r="A49" t="s">
        <v>48</v>
      </c>
      <c r="B49">
        <v>0</v>
      </c>
      <c r="C49">
        <v>1</v>
      </c>
      <c r="D49">
        <v>1.61054989998228</v>
      </c>
      <c r="I49" t="s">
        <v>86</v>
      </c>
      <c r="J49">
        <v>0</v>
      </c>
      <c r="K49">
        <v>1</v>
      </c>
      <c r="L49">
        <v>0.64849300001514998</v>
      </c>
      <c r="Q49" t="s">
        <v>27</v>
      </c>
      <c r="R49">
        <v>0</v>
      </c>
      <c r="S49">
        <v>0</v>
      </c>
      <c r="T49">
        <v>0.63006860000314102</v>
      </c>
      <c r="Y49" t="s">
        <v>5</v>
      </c>
      <c r="Z49">
        <v>1</v>
      </c>
      <c r="AA49">
        <v>1</v>
      </c>
      <c r="AB49">
        <v>0.61349560000235204</v>
      </c>
      <c r="AG49" t="s">
        <v>66</v>
      </c>
      <c r="AH49">
        <v>0</v>
      </c>
      <c r="AI49">
        <v>1</v>
      </c>
      <c r="AJ49">
        <v>1.0526058999821499</v>
      </c>
    </row>
    <row r="50" spans="1:36" x14ac:dyDescent="0.35">
      <c r="A50" t="s">
        <v>49</v>
      </c>
      <c r="B50">
        <v>0</v>
      </c>
      <c r="C50">
        <v>1</v>
      </c>
      <c r="D50">
        <v>0.63749260001350105</v>
      </c>
      <c r="I50" t="s">
        <v>45</v>
      </c>
      <c r="J50">
        <v>1</v>
      </c>
      <c r="K50">
        <v>1</v>
      </c>
      <c r="L50">
        <v>0.61744450003607199</v>
      </c>
      <c r="Q50" t="s">
        <v>26</v>
      </c>
      <c r="R50">
        <v>0</v>
      </c>
      <c r="S50">
        <v>0</v>
      </c>
      <c r="T50">
        <v>1.80549340002471</v>
      </c>
      <c r="Y50" t="s">
        <v>75</v>
      </c>
      <c r="Z50">
        <v>1</v>
      </c>
      <c r="AA50">
        <v>1</v>
      </c>
      <c r="AB50">
        <v>0.51619719999143798</v>
      </c>
      <c r="AG50" t="s">
        <v>34</v>
      </c>
      <c r="AH50">
        <v>0</v>
      </c>
      <c r="AI50">
        <v>1</v>
      </c>
      <c r="AJ50">
        <v>1.50007810001261</v>
      </c>
    </row>
    <row r="51" spans="1:36" x14ac:dyDescent="0.35">
      <c r="A51" t="s">
        <v>50</v>
      </c>
      <c r="B51">
        <v>0</v>
      </c>
      <c r="C51">
        <v>1</v>
      </c>
      <c r="D51">
        <v>0.82627489999867898</v>
      </c>
      <c r="I51" t="s">
        <v>62</v>
      </c>
      <c r="J51">
        <v>0</v>
      </c>
      <c r="K51">
        <v>1</v>
      </c>
      <c r="L51">
        <v>1.01310029998421</v>
      </c>
      <c r="Q51" t="s">
        <v>32</v>
      </c>
      <c r="R51">
        <v>1</v>
      </c>
      <c r="S51">
        <v>1</v>
      </c>
      <c r="T51">
        <v>0.62250380002660599</v>
      </c>
      <c r="Y51" t="s">
        <v>20</v>
      </c>
      <c r="Z51">
        <v>1</v>
      </c>
      <c r="AA51">
        <v>1</v>
      </c>
      <c r="AB51">
        <v>0.51272249995963604</v>
      </c>
      <c r="AG51" t="s">
        <v>48</v>
      </c>
      <c r="AH51">
        <v>0</v>
      </c>
      <c r="AI51">
        <v>0</v>
      </c>
      <c r="AJ51">
        <v>1.7499234999995601</v>
      </c>
    </row>
    <row r="52" spans="1:36" x14ac:dyDescent="0.35">
      <c r="A52" t="s">
        <v>51</v>
      </c>
      <c r="B52">
        <v>1</v>
      </c>
      <c r="C52">
        <v>1</v>
      </c>
      <c r="D52">
        <v>0.700427700008731</v>
      </c>
      <c r="I52" t="s">
        <v>3</v>
      </c>
      <c r="J52">
        <v>0</v>
      </c>
      <c r="K52">
        <v>1</v>
      </c>
      <c r="L52">
        <v>1.21540530002675</v>
      </c>
      <c r="Q52" t="s">
        <v>7</v>
      </c>
      <c r="R52">
        <v>0</v>
      </c>
      <c r="S52">
        <v>0</v>
      </c>
      <c r="T52">
        <v>1.4775067000300599</v>
      </c>
      <c r="Y52" t="s">
        <v>45</v>
      </c>
      <c r="Z52">
        <v>1</v>
      </c>
      <c r="AA52">
        <v>1</v>
      </c>
      <c r="AB52">
        <v>0.48475989996222701</v>
      </c>
      <c r="AG52" t="s">
        <v>58</v>
      </c>
      <c r="AH52">
        <v>0</v>
      </c>
      <c r="AI52">
        <v>1</v>
      </c>
      <c r="AJ52">
        <v>0.94807740004034702</v>
      </c>
    </row>
    <row r="53" spans="1:36" x14ac:dyDescent="0.35">
      <c r="A53" t="s">
        <v>52</v>
      </c>
      <c r="B53">
        <v>0</v>
      </c>
      <c r="C53">
        <v>1</v>
      </c>
      <c r="D53">
        <v>0.79723249998642098</v>
      </c>
      <c r="I53" t="s">
        <v>60</v>
      </c>
      <c r="J53">
        <v>0</v>
      </c>
      <c r="K53">
        <v>1</v>
      </c>
      <c r="L53">
        <v>0.64390580001054298</v>
      </c>
      <c r="Q53" t="s">
        <v>87</v>
      </c>
      <c r="R53">
        <v>1</v>
      </c>
      <c r="S53">
        <v>1</v>
      </c>
      <c r="T53">
        <v>0.673174499999731</v>
      </c>
      <c r="Y53" t="s">
        <v>67</v>
      </c>
      <c r="Z53">
        <v>0</v>
      </c>
      <c r="AA53">
        <v>1</v>
      </c>
      <c r="AB53">
        <v>0.61101940000662502</v>
      </c>
      <c r="AG53" t="s">
        <v>26</v>
      </c>
      <c r="AH53">
        <v>0</v>
      </c>
      <c r="AI53">
        <v>1</v>
      </c>
      <c r="AJ53">
        <v>0.97817030001897298</v>
      </c>
    </row>
    <row r="54" spans="1:36" x14ac:dyDescent="0.35">
      <c r="A54" t="s">
        <v>53</v>
      </c>
      <c r="B54">
        <v>0</v>
      </c>
      <c r="C54">
        <v>1</v>
      </c>
      <c r="D54">
        <v>0.69603849999839396</v>
      </c>
      <c r="I54" t="s">
        <v>7</v>
      </c>
      <c r="J54">
        <v>0</v>
      </c>
      <c r="K54">
        <v>1</v>
      </c>
      <c r="L54">
        <v>0.94700850005028703</v>
      </c>
      <c r="Q54" t="s">
        <v>22</v>
      </c>
      <c r="R54">
        <v>1</v>
      </c>
      <c r="S54">
        <v>1</v>
      </c>
      <c r="T54">
        <v>0.93264239997370102</v>
      </c>
      <c r="Y54" t="s">
        <v>53</v>
      </c>
      <c r="Z54">
        <v>0</v>
      </c>
      <c r="AA54">
        <v>1</v>
      </c>
      <c r="AB54">
        <v>0.62268400000175395</v>
      </c>
      <c r="AG54" t="s">
        <v>11</v>
      </c>
      <c r="AH54">
        <v>1</v>
      </c>
      <c r="AI54">
        <v>1</v>
      </c>
      <c r="AJ54">
        <v>0.82427400001324702</v>
      </c>
    </row>
    <row r="55" spans="1:36" x14ac:dyDescent="0.35">
      <c r="A55" t="s">
        <v>54</v>
      </c>
      <c r="B55">
        <v>0</v>
      </c>
      <c r="C55">
        <v>1</v>
      </c>
      <c r="D55">
        <v>1.0250732999993399</v>
      </c>
      <c r="I55" t="s">
        <v>51</v>
      </c>
      <c r="J55">
        <v>1</v>
      </c>
      <c r="K55">
        <v>1</v>
      </c>
      <c r="L55">
        <v>0.74600729998201099</v>
      </c>
      <c r="Q55" t="s">
        <v>46</v>
      </c>
      <c r="R55">
        <v>1</v>
      </c>
      <c r="S55">
        <v>1</v>
      </c>
      <c r="T55">
        <v>0.66694139997707602</v>
      </c>
      <c r="Y55" t="s">
        <v>39</v>
      </c>
      <c r="Z55">
        <v>0</v>
      </c>
      <c r="AA55">
        <v>1</v>
      </c>
      <c r="AB55">
        <v>0.60112940001999904</v>
      </c>
      <c r="AG55" t="s">
        <v>38</v>
      </c>
      <c r="AH55">
        <v>1</v>
      </c>
      <c r="AI55">
        <v>1</v>
      </c>
      <c r="AJ55">
        <v>0.818093799985945</v>
      </c>
    </row>
    <row r="56" spans="1:36" x14ac:dyDescent="0.35">
      <c r="A56" t="s">
        <v>55</v>
      </c>
      <c r="B56">
        <v>0</v>
      </c>
      <c r="C56">
        <v>1</v>
      </c>
      <c r="D56">
        <v>0.74194779997924298</v>
      </c>
      <c r="I56" t="s">
        <v>64</v>
      </c>
      <c r="J56">
        <v>1</v>
      </c>
      <c r="K56">
        <v>1</v>
      </c>
      <c r="L56">
        <v>1.06662450003204</v>
      </c>
      <c r="Q56" t="s">
        <v>66</v>
      </c>
      <c r="R56">
        <v>0</v>
      </c>
      <c r="S56">
        <v>1</v>
      </c>
      <c r="T56">
        <v>1.8282491999561801</v>
      </c>
      <c r="Y56" t="s">
        <v>56</v>
      </c>
      <c r="Z56">
        <v>1</v>
      </c>
      <c r="AA56">
        <v>1</v>
      </c>
      <c r="AB56">
        <v>0.48945779999485201</v>
      </c>
      <c r="AG56" t="s">
        <v>84</v>
      </c>
      <c r="AH56">
        <v>1</v>
      </c>
      <c r="AI56">
        <v>1</v>
      </c>
      <c r="AJ56">
        <v>0.71858939999947302</v>
      </c>
    </row>
    <row r="57" spans="1:36" x14ac:dyDescent="0.35">
      <c r="A57" t="s">
        <v>56</v>
      </c>
      <c r="B57">
        <v>1</v>
      </c>
      <c r="C57">
        <v>1</v>
      </c>
      <c r="D57">
        <v>0.66524199995910704</v>
      </c>
      <c r="I57" t="s">
        <v>73</v>
      </c>
      <c r="J57">
        <v>0</v>
      </c>
      <c r="K57">
        <v>1</v>
      </c>
      <c r="L57">
        <v>0.71696980000706301</v>
      </c>
      <c r="Q57" t="s">
        <v>11</v>
      </c>
      <c r="R57">
        <v>1</v>
      </c>
      <c r="S57">
        <v>1</v>
      </c>
      <c r="T57">
        <v>0.65936009999131695</v>
      </c>
      <c r="Y57" t="s">
        <v>38</v>
      </c>
      <c r="Z57">
        <v>1</v>
      </c>
      <c r="AA57">
        <v>1</v>
      </c>
      <c r="AB57">
        <v>1.3626438000355801</v>
      </c>
      <c r="AG57" t="s">
        <v>78</v>
      </c>
      <c r="AH57">
        <v>1</v>
      </c>
      <c r="AI57">
        <v>1</v>
      </c>
      <c r="AJ57">
        <v>0.75485939998179596</v>
      </c>
    </row>
    <row r="58" spans="1:36" x14ac:dyDescent="0.35">
      <c r="A58" t="s">
        <v>57</v>
      </c>
      <c r="B58">
        <v>0</v>
      </c>
      <c r="C58">
        <v>1</v>
      </c>
      <c r="D58">
        <v>0.73265789996366903</v>
      </c>
      <c r="I58" t="s">
        <v>32</v>
      </c>
      <c r="J58">
        <v>1</v>
      </c>
      <c r="K58">
        <v>1</v>
      </c>
      <c r="L58">
        <v>1.31275410001399</v>
      </c>
      <c r="Q58" t="s">
        <v>18</v>
      </c>
      <c r="R58">
        <v>0</v>
      </c>
      <c r="S58">
        <v>1</v>
      </c>
      <c r="T58">
        <v>1.22549560002516</v>
      </c>
      <c r="Y58" t="s">
        <v>100</v>
      </c>
      <c r="Z58">
        <v>1</v>
      </c>
      <c r="AA58">
        <v>1</v>
      </c>
      <c r="AB58">
        <v>0.64115229999879297</v>
      </c>
      <c r="AG58" t="s">
        <v>62</v>
      </c>
      <c r="AH58">
        <v>0</v>
      </c>
      <c r="AI58">
        <v>1</v>
      </c>
      <c r="AJ58">
        <v>1.72825409995857</v>
      </c>
    </row>
    <row r="59" spans="1:36" x14ac:dyDescent="0.35">
      <c r="A59" t="s">
        <v>58</v>
      </c>
      <c r="B59">
        <v>0</v>
      </c>
      <c r="C59">
        <v>1</v>
      </c>
      <c r="D59">
        <v>0.62963290000334304</v>
      </c>
      <c r="I59" t="s">
        <v>6</v>
      </c>
      <c r="J59">
        <v>0</v>
      </c>
      <c r="K59">
        <v>1</v>
      </c>
      <c r="L59">
        <v>0.67318490002071396</v>
      </c>
      <c r="Q59" t="s">
        <v>72</v>
      </c>
      <c r="R59">
        <v>1</v>
      </c>
      <c r="S59">
        <v>1</v>
      </c>
      <c r="T59">
        <v>0.46016060002148101</v>
      </c>
      <c r="Y59" t="s">
        <v>73</v>
      </c>
      <c r="Z59">
        <v>0</v>
      </c>
      <c r="AA59">
        <v>1</v>
      </c>
      <c r="AB59">
        <v>0.62592399999266402</v>
      </c>
      <c r="AG59" t="s">
        <v>8</v>
      </c>
      <c r="AH59">
        <v>0</v>
      </c>
      <c r="AI59">
        <v>1</v>
      </c>
      <c r="AJ59">
        <v>0.79466030001640298</v>
      </c>
    </row>
    <row r="60" spans="1:36" x14ac:dyDescent="0.35">
      <c r="A60" t="s">
        <v>59</v>
      </c>
      <c r="B60">
        <v>1</v>
      </c>
      <c r="C60">
        <v>1</v>
      </c>
      <c r="D60">
        <v>0.54761609999695704</v>
      </c>
      <c r="I60" t="s">
        <v>61</v>
      </c>
      <c r="J60">
        <v>1</v>
      </c>
      <c r="K60">
        <v>1</v>
      </c>
      <c r="L60">
        <v>0.68049910000990999</v>
      </c>
      <c r="Q60" t="s">
        <v>45</v>
      </c>
      <c r="R60">
        <v>1</v>
      </c>
      <c r="S60">
        <v>1</v>
      </c>
      <c r="T60">
        <v>1.01272120000794</v>
      </c>
      <c r="Y60" t="s">
        <v>95</v>
      </c>
      <c r="Z60">
        <v>1</v>
      </c>
      <c r="AA60">
        <v>1</v>
      </c>
      <c r="AB60">
        <v>1.2205881999689101</v>
      </c>
      <c r="AG60" t="s">
        <v>64</v>
      </c>
      <c r="AH60">
        <v>1</v>
      </c>
      <c r="AI60">
        <v>1</v>
      </c>
      <c r="AJ60">
        <v>0.73301780002657302</v>
      </c>
    </row>
    <row r="61" spans="1:36" x14ac:dyDescent="0.35">
      <c r="A61" t="s">
        <v>60</v>
      </c>
      <c r="B61">
        <v>0</v>
      </c>
      <c r="C61">
        <v>1</v>
      </c>
      <c r="D61">
        <v>0.55141610000282504</v>
      </c>
      <c r="I61" t="s">
        <v>20</v>
      </c>
      <c r="J61">
        <v>1</v>
      </c>
      <c r="K61">
        <v>1</v>
      </c>
      <c r="L61">
        <v>0.65115330001572103</v>
      </c>
      <c r="Q61" t="s">
        <v>19</v>
      </c>
      <c r="R61">
        <v>1</v>
      </c>
      <c r="S61">
        <v>1</v>
      </c>
      <c r="T61">
        <v>0.82626549998531096</v>
      </c>
      <c r="Y61" t="s">
        <v>11</v>
      </c>
      <c r="Z61">
        <v>1</v>
      </c>
      <c r="AA61">
        <v>1</v>
      </c>
      <c r="AB61">
        <v>0.77564300002995801</v>
      </c>
      <c r="AG61" t="s">
        <v>55</v>
      </c>
      <c r="AH61">
        <v>0</v>
      </c>
      <c r="AI61">
        <v>1</v>
      </c>
      <c r="AJ61">
        <v>0.95806540001649398</v>
      </c>
    </row>
    <row r="62" spans="1:36" x14ac:dyDescent="0.35">
      <c r="A62" t="s">
        <v>61</v>
      </c>
      <c r="B62">
        <v>1</v>
      </c>
      <c r="C62">
        <v>1</v>
      </c>
      <c r="D62">
        <v>0.68868650001240805</v>
      </c>
      <c r="I62" t="s">
        <v>70</v>
      </c>
      <c r="J62">
        <v>1</v>
      </c>
      <c r="K62">
        <v>1</v>
      </c>
      <c r="L62">
        <v>0.58943219995126095</v>
      </c>
      <c r="Q62" t="s">
        <v>94</v>
      </c>
      <c r="R62">
        <v>1</v>
      </c>
      <c r="S62">
        <v>1</v>
      </c>
      <c r="T62">
        <v>0.701434300048276</v>
      </c>
      <c r="Y62" t="s">
        <v>84</v>
      </c>
      <c r="Z62">
        <v>1</v>
      </c>
      <c r="AA62">
        <v>1</v>
      </c>
      <c r="AB62">
        <v>0.466117500036489</v>
      </c>
      <c r="AG62" t="s">
        <v>46</v>
      </c>
      <c r="AH62">
        <v>1</v>
      </c>
      <c r="AI62">
        <v>1</v>
      </c>
      <c r="AJ62">
        <v>0.69445190002443202</v>
      </c>
    </row>
    <row r="63" spans="1:36" x14ac:dyDescent="0.35">
      <c r="A63" t="s">
        <v>62</v>
      </c>
      <c r="B63">
        <v>0</v>
      </c>
      <c r="C63">
        <v>1</v>
      </c>
      <c r="D63">
        <v>0.72331390000181195</v>
      </c>
      <c r="I63" t="s">
        <v>41</v>
      </c>
      <c r="J63">
        <v>1</v>
      </c>
      <c r="K63">
        <v>1</v>
      </c>
      <c r="L63">
        <v>0.55415310000535101</v>
      </c>
      <c r="Q63" t="s">
        <v>80</v>
      </c>
      <c r="R63">
        <v>1</v>
      </c>
      <c r="S63">
        <v>1</v>
      </c>
      <c r="T63">
        <v>0.39256780000869101</v>
      </c>
      <c r="Y63" t="s">
        <v>25</v>
      </c>
      <c r="Z63">
        <v>1</v>
      </c>
      <c r="AA63">
        <v>1</v>
      </c>
      <c r="AB63">
        <v>0.72286259999964297</v>
      </c>
      <c r="AG63" t="s">
        <v>73</v>
      </c>
      <c r="AH63">
        <v>0</v>
      </c>
      <c r="AI63">
        <v>1</v>
      </c>
      <c r="AJ63">
        <v>0.84853299998212595</v>
      </c>
    </row>
    <row r="64" spans="1:36" x14ac:dyDescent="0.35">
      <c r="A64" t="s">
        <v>63</v>
      </c>
      <c r="B64">
        <v>0</v>
      </c>
      <c r="C64">
        <v>1</v>
      </c>
      <c r="D64">
        <v>0.698504200030583</v>
      </c>
      <c r="I64" t="s">
        <v>87</v>
      </c>
      <c r="J64">
        <v>1</v>
      </c>
      <c r="K64">
        <v>1</v>
      </c>
      <c r="L64">
        <v>0.49938350002048498</v>
      </c>
      <c r="Q64" t="s">
        <v>81</v>
      </c>
      <c r="R64">
        <v>1</v>
      </c>
      <c r="S64">
        <v>1</v>
      </c>
      <c r="T64">
        <v>0.36075319995870803</v>
      </c>
      <c r="Y64" t="s">
        <v>43</v>
      </c>
      <c r="Z64">
        <v>1</v>
      </c>
      <c r="AA64">
        <v>1</v>
      </c>
      <c r="AB64">
        <v>0.52315770002314799</v>
      </c>
      <c r="AG64" t="s">
        <v>5</v>
      </c>
      <c r="AH64">
        <v>1</v>
      </c>
      <c r="AI64">
        <v>1</v>
      </c>
      <c r="AJ64">
        <v>0.70851169998059005</v>
      </c>
    </row>
    <row r="65" spans="1:36" x14ac:dyDescent="0.35">
      <c r="A65" t="s">
        <v>64</v>
      </c>
      <c r="B65">
        <v>1</v>
      </c>
      <c r="C65">
        <v>1</v>
      </c>
      <c r="D65">
        <v>0.69642130000283897</v>
      </c>
      <c r="I65" t="s">
        <v>88</v>
      </c>
      <c r="J65">
        <v>1</v>
      </c>
      <c r="K65">
        <v>1</v>
      </c>
      <c r="L65">
        <v>0.57366330001968802</v>
      </c>
      <c r="Q65" t="s">
        <v>44</v>
      </c>
      <c r="R65">
        <v>1</v>
      </c>
      <c r="S65">
        <v>1</v>
      </c>
      <c r="T65">
        <v>0.46250339999096401</v>
      </c>
      <c r="Y65" t="s">
        <v>86</v>
      </c>
      <c r="Z65">
        <v>0</v>
      </c>
      <c r="AA65">
        <v>1</v>
      </c>
      <c r="AB65">
        <v>0.69780270004412104</v>
      </c>
      <c r="AG65" t="s">
        <v>13</v>
      </c>
      <c r="AH65">
        <v>0</v>
      </c>
      <c r="AI65">
        <v>1</v>
      </c>
      <c r="AJ65">
        <v>1.0742495000013099</v>
      </c>
    </row>
    <row r="66" spans="1:36" x14ac:dyDescent="0.35">
      <c r="A66" t="s">
        <v>65</v>
      </c>
      <c r="B66">
        <v>0</v>
      </c>
      <c r="C66">
        <v>1</v>
      </c>
      <c r="D66">
        <v>0.86129989998880696</v>
      </c>
      <c r="I66" t="s">
        <v>36</v>
      </c>
      <c r="J66">
        <v>1</v>
      </c>
      <c r="K66">
        <v>1</v>
      </c>
      <c r="L66">
        <v>0.51847650000126999</v>
      </c>
      <c r="Q66" t="s">
        <v>67</v>
      </c>
      <c r="R66">
        <v>0</v>
      </c>
      <c r="S66">
        <v>1</v>
      </c>
      <c r="T66">
        <v>1.0849089000257599</v>
      </c>
      <c r="Y66" t="s">
        <v>82</v>
      </c>
      <c r="Z66">
        <v>0</v>
      </c>
      <c r="AA66">
        <v>1</v>
      </c>
      <c r="AB66">
        <v>0.78198710002470695</v>
      </c>
      <c r="AG66" t="s">
        <v>22</v>
      </c>
      <c r="AH66">
        <v>1</v>
      </c>
      <c r="AI66">
        <v>1</v>
      </c>
      <c r="AJ66">
        <v>0.69013440003618598</v>
      </c>
    </row>
    <row r="67" spans="1:36" x14ac:dyDescent="0.35">
      <c r="A67" t="s">
        <v>66</v>
      </c>
      <c r="B67">
        <v>0</v>
      </c>
      <c r="C67">
        <v>0</v>
      </c>
      <c r="D67">
        <v>0.51767099997959998</v>
      </c>
      <c r="I67" t="s">
        <v>33</v>
      </c>
      <c r="J67">
        <v>1</v>
      </c>
      <c r="K67">
        <v>1</v>
      </c>
      <c r="L67">
        <v>0.51448449998861101</v>
      </c>
      <c r="Q67" t="s">
        <v>39</v>
      </c>
      <c r="R67">
        <v>0</v>
      </c>
      <c r="S67">
        <v>1</v>
      </c>
      <c r="T67">
        <v>1.27441860001999</v>
      </c>
      <c r="Y67" t="s">
        <v>52</v>
      </c>
      <c r="Z67">
        <v>0</v>
      </c>
      <c r="AA67">
        <v>1</v>
      </c>
      <c r="AB67">
        <v>0.58902060001855705</v>
      </c>
      <c r="AG67" t="s">
        <v>99</v>
      </c>
      <c r="AH67">
        <v>0</v>
      </c>
      <c r="AI67">
        <v>1</v>
      </c>
      <c r="AJ67">
        <v>0.92431580001721103</v>
      </c>
    </row>
    <row r="68" spans="1:36" x14ac:dyDescent="0.35">
      <c r="A68" t="s">
        <v>67</v>
      </c>
      <c r="B68">
        <v>0</v>
      </c>
      <c r="C68">
        <v>1</v>
      </c>
      <c r="D68">
        <v>0.93308019998948999</v>
      </c>
      <c r="I68" t="s">
        <v>23</v>
      </c>
      <c r="J68">
        <v>0</v>
      </c>
      <c r="K68">
        <v>1</v>
      </c>
      <c r="L68">
        <v>0.79682000004686404</v>
      </c>
      <c r="Q68" t="s">
        <v>16</v>
      </c>
      <c r="R68">
        <v>0</v>
      </c>
      <c r="S68">
        <v>1</v>
      </c>
      <c r="T68">
        <v>1.0795638000126899</v>
      </c>
      <c r="Y68" t="s">
        <v>99</v>
      </c>
      <c r="Z68">
        <v>0</v>
      </c>
      <c r="AA68">
        <v>1</v>
      </c>
      <c r="AB68">
        <v>0.650716499949339</v>
      </c>
      <c r="AG68" t="s">
        <v>79</v>
      </c>
      <c r="AH68">
        <v>1</v>
      </c>
      <c r="AI68">
        <v>1</v>
      </c>
      <c r="AJ68">
        <v>1.09907709999242</v>
      </c>
    </row>
    <row r="69" spans="1:36" x14ac:dyDescent="0.35">
      <c r="A69" t="s">
        <v>68</v>
      </c>
      <c r="B69">
        <v>1</v>
      </c>
      <c r="C69">
        <v>1</v>
      </c>
      <c r="D69">
        <v>0.81988199998158895</v>
      </c>
      <c r="I69" t="s">
        <v>12</v>
      </c>
      <c r="J69">
        <v>1</v>
      </c>
      <c r="K69">
        <v>1</v>
      </c>
      <c r="L69">
        <v>1.47008980001555</v>
      </c>
      <c r="Q69" t="s">
        <v>38</v>
      </c>
      <c r="R69">
        <v>1</v>
      </c>
      <c r="S69">
        <v>1</v>
      </c>
      <c r="T69">
        <v>0.59602820000145496</v>
      </c>
      <c r="Y69" t="s">
        <v>59</v>
      </c>
      <c r="Z69">
        <v>1</v>
      </c>
      <c r="AA69">
        <v>1</v>
      </c>
      <c r="AB69">
        <v>0.49395089998142699</v>
      </c>
      <c r="AG69" t="s">
        <v>82</v>
      </c>
      <c r="AH69">
        <v>0</v>
      </c>
      <c r="AI69">
        <v>1</v>
      </c>
      <c r="AJ69">
        <v>2.7994022000348102</v>
      </c>
    </row>
    <row r="70" spans="1:36" x14ac:dyDescent="0.35">
      <c r="A70" t="s">
        <v>69</v>
      </c>
      <c r="B70">
        <v>0</v>
      </c>
      <c r="C70">
        <v>1</v>
      </c>
      <c r="D70">
        <v>0.61436399997910396</v>
      </c>
      <c r="I70" t="s">
        <v>80</v>
      </c>
      <c r="J70">
        <v>1</v>
      </c>
      <c r="K70">
        <v>1</v>
      </c>
      <c r="L70">
        <v>0.71091030002571598</v>
      </c>
      <c r="Q70" t="s">
        <v>49</v>
      </c>
      <c r="R70">
        <v>0</v>
      </c>
      <c r="S70">
        <v>1</v>
      </c>
      <c r="T70">
        <v>0.90453100000740905</v>
      </c>
      <c r="Y70" t="s">
        <v>85</v>
      </c>
      <c r="Z70">
        <v>1</v>
      </c>
      <c r="AA70">
        <v>1</v>
      </c>
      <c r="AB70">
        <v>0.52286450000246898</v>
      </c>
      <c r="AG70" t="s">
        <v>33</v>
      </c>
      <c r="AH70">
        <v>1</v>
      </c>
      <c r="AI70">
        <v>1</v>
      </c>
      <c r="AJ70">
        <v>0.553660799982026</v>
      </c>
    </row>
    <row r="71" spans="1:36" x14ac:dyDescent="0.35">
      <c r="A71" t="s">
        <v>70</v>
      </c>
      <c r="B71">
        <v>1</v>
      </c>
      <c r="C71">
        <v>1</v>
      </c>
      <c r="D71">
        <v>0.56795340002281502</v>
      </c>
      <c r="I71" t="s">
        <v>57</v>
      </c>
      <c r="J71">
        <v>0</v>
      </c>
      <c r="K71">
        <v>0</v>
      </c>
      <c r="L71">
        <v>0.56252819998189796</v>
      </c>
      <c r="Q71" t="s">
        <v>77</v>
      </c>
      <c r="R71">
        <v>0</v>
      </c>
      <c r="S71">
        <v>1</v>
      </c>
      <c r="T71">
        <v>1.09193250001408</v>
      </c>
      <c r="Y71" t="s">
        <v>65</v>
      </c>
      <c r="Z71">
        <v>0</v>
      </c>
      <c r="AA71">
        <v>0</v>
      </c>
      <c r="AB71">
        <v>0.51339829998323605</v>
      </c>
      <c r="AG71" t="s">
        <v>56</v>
      </c>
      <c r="AH71">
        <v>1</v>
      </c>
      <c r="AI71">
        <v>1</v>
      </c>
      <c r="AJ71">
        <v>0.66206760000204601</v>
      </c>
    </row>
    <row r="72" spans="1:36" x14ac:dyDescent="0.35">
      <c r="A72" t="s">
        <v>71</v>
      </c>
      <c r="B72">
        <v>0</v>
      </c>
      <c r="C72">
        <v>1</v>
      </c>
      <c r="D72">
        <v>1.1575139999622399</v>
      </c>
      <c r="I72" t="s">
        <v>10</v>
      </c>
      <c r="J72">
        <v>1</v>
      </c>
      <c r="K72">
        <v>1</v>
      </c>
      <c r="L72">
        <v>0.91083229996729598</v>
      </c>
      <c r="Q72" t="s">
        <v>97</v>
      </c>
      <c r="R72">
        <v>1</v>
      </c>
      <c r="S72">
        <v>1</v>
      </c>
      <c r="T72">
        <v>0.54594580002594695</v>
      </c>
      <c r="Y72" t="s">
        <v>46</v>
      </c>
      <c r="Z72">
        <v>1</v>
      </c>
      <c r="AA72">
        <v>1</v>
      </c>
      <c r="AB72">
        <v>1.1559632999706</v>
      </c>
      <c r="AG72" t="s">
        <v>51</v>
      </c>
      <c r="AH72">
        <v>1</v>
      </c>
      <c r="AI72">
        <v>1</v>
      </c>
      <c r="AJ72">
        <v>0.86328709998633701</v>
      </c>
    </row>
    <row r="73" spans="1:36" x14ac:dyDescent="0.35">
      <c r="A73" t="s">
        <v>72</v>
      </c>
      <c r="B73">
        <v>1</v>
      </c>
      <c r="C73">
        <v>1</v>
      </c>
      <c r="D73">
        <v>1.2793757999897899</v>
      </c>
      <c r="I73" t="s">
        <v>92</v>
      </c>
      <c r="J73">
        <v>0</v>
      </c>
      <c r="K73">
        <v>1</v>
      </c>
      <c r="L73">
        <v>0.80879889999050603</v>
      </c>
      <c r="Q73" t="s">
        <v>90</v>
      </c>
      <c r="R73">
        <v>0</v>
      </c>
      <c r="S73">
        <v>1</v>
      </c>
      <c r="T73">
        <v>1.02326040004845</v>
      </c>
      <c r="Y73" t="s">
        <v>50</v>
      </c>
      <c r="Z73">
        <v>0</v>
      </c>
      <c r="AA73">
        <v>1</v>
      </c>
      <c r="AB73">
        <v>0.97830280003836301</v>
      </c>
      <c r="AG73" t="s">
        <v>47</v>
      </c>
      <c r="AH73">
        <v>0</v>
      </c>
      <c r="AI73">
        <v>1</v>
      </c>
      <c r="AJ73">
        <v>0.82549830002244495</v>
      </c>
    </row>
    <row r="74" spans="1:36" x14ac:dyDescent="0.35">
      <c r="A74" t="s">
        <v>73</v>
      </c>
      <c r="B74">
        <v>0</v>
      </c>
      <c r="C74">
        <v>1</v>
      </c>
      <c r="D74">
        <v>0.59583379997638897</v>
      </c>
      <c r="I74" t="s">
        <v>27</v>
      </c>
      <c r="J74">
        <v>0</v>
      </c>
      <c r="K74">
        <v>1</v>
      </c>
      <c r="L74">
        <v>2.7322276000049799</v>
      </c>
      <c r="Q74" t="s">
        <v>100</v>
      </c>
      <c r="R74">
        <v>1</v>
      </c>
      <c r="S74">
        <v>1</v>
      </c>
      <c r="T74">
        <v>0.92972580000059601</v>
      </c>
      <c r="Y74" t="s">
        <v>97</v>
      </c>
      <c r="Z74">
        <v>1</v>
      </c>
      <c r="AA74">
        <v>1</v>
      </c>
      <c r="AB74">
        <v>1.77930049999849</v>
      </c>
      <c r="AG74" t="s">
        <v>37</v>
      </c>
      <c r="AH74">
        <v>0</v>
      </c>
      <c r="AI74">
        <v>1</v>
      </c>
      <c r="AJ74">
        <v>1.09089880000101</v>
      </c>
    </row>
    <row r="75" spans="1:36" x14ac:dyDescent="0.35">
      <c r="A75" t="s">
        <v>74</v>
      </c>
      <c r="B75">
        <v>0</v>
      </c>
      <c r="C75">
        <v>1</v>
      </c>
      <c r="D75">
        <v>0.95934310002485201</v>
      </c>
      <c r="I75" t="s">
        <v>66</v>
      </c>
      <c r="J75">
        <v>0</v>
      </c>
      <c r="K75">
        <v>1</v>
      </c>
      <c r="L75">
        <v>1.1874247000086999</v>
      </c>
      <c r="Q75" t="s">
        <v>75</v>
      </c>
      <c r="R75">
        <v>1</v>
      </c>
      <c r="S75">
        <v>1</v>
      </c>
      <c r="T75">
        <v>0.68397090001963001</v>
      </c>
      <c r="Y75" t="s">
        <v>7</v>
      </c>
      <c r="Z75">
        <v>0</v>
      </c>
      <c r="AA75">
        <v>1</v>
      </c>
      <c r="AB75">
        <v>0.69599749997723803</v>
      </c>
      <c r="AG75" t="s">
        <v>97</v>
      </c>
      <c r="AH75">
        <v>1</v>
      </c>
      <c r="AI75">
        <v>1</v>
      </c>
      <c r="AJ75">
        <v>0.63485739997122403</v>
      </c>
    </row>
    <row r="76" spans="1:36" x14ac:dyDescent="0.35">
      <c r="A76" t="s">
        <v>75</v>
      </c>
      <c r="B76">
        <v>1</v>
      </c>
      <c r="C76">
        <v>1</v>
      </c>
      <c r="D76">
        <v>0.70685299998149198</v>
      </c>
      <c r="I76" t="s">
        <v>28</v>
      </c>
      <c r="J76">
        <v>0</v>
      </c>
      <c r="K76">
        <v>1</v>
      </c>
      <c r="L76">
        <v>1.35148920002393</v>
      </c>
      <c r="Q76" t="s">
        <v>62</v>
      </c>
      <c r="R76">
        <v>0</v>
      </c>
      <c r="S76">
        <v>1</v>
      </c>
      <c r="T76">
        <v>1.0585699999937701</v>
      </c>
      <c r="Y76" t="s">
        <v>60</v>
      </c>
      <c r="Z76">
        <v>0</v>
      </c>
      <c r="AA76">
        <v>1</v>
      </c>
      <c r="AB76">
        <v>1.54513299994869</v>
      </c>
      <c r="AG76" t="s">
        <v>24</v>
      </c>
      <c r="AH76">
        <v>1</v>
      </c>
      <c r="AI76">
        <v>1</v>
      </c>
      <c r="AJ76">
        <v>0.65933559997938496</v>
      </c>
    </row>
    <row r="77" spans="1:36" x14ac:dyDescent="0.35">
      <c r="A77" t="s">
        <v>76</v>
      </c>
      <c r="B77">
        <v>0</v>
      </c>
      <c r="C77">
        <v>1</v>
      </c>
      <c r="D77">
        <v>0.56281589996069603</v>
      </c>
      <c r="I77" t="s">
        <v>38</v>
      </c>
      <c r="J77">
        <v>1</v>
      </c>
      <c r="K77">
        <v>1</v>
      </c>
      <c r="L77">
        <v>0.90981700003612698</v>
      </c>
      <c r="Q77" t="s">
        <v>3</v>
      </c>
      <c r="R77">
        <v>0</v>
      </c>
      <c r="S77">
        <v>1</v>
      </c>
      <c r="T77">
        <v>1.2606279000174201</v>
      </c>
      <c r="Y77" t="s">
        <v>96</v>
      </c>
      <c r="Z77">
        <v>1</v>
      </c>
      <c r="AA77">
        <v>1</v>
      </c>
      <c r="AB77">
        <v>0.55346609995467499</v>
      </c>
      <c r="AG77" t="s">
        <v>94</v>
      </c>
      <c r="AH77">
        <v>1</v>
      </c>
      <c r="AI77">
        <v>1</v>
      </c>
      <c r="AJ77">
        <v>0.72037669998826404</v>
      </c>
    </row>
    <row r="78" spans="1:36" x14ac:dyDescent="0.35">
      <c r="A78" t="s">
        <v>77</v>
      </c>
      <c r="B78">
        <v>0</v>
      </c>
      <c r="C78">
        <v>1</v>
      </c>
      <c r="D78">
        <v>0.79046990000642803</v>
      </c>
      <c r="I78" t="s">
        <v>53</v>
      </c>
      <c r="J78">
        <v>0</v>
      </c>
      <c r="K78">
        <v>1</v>
      </c>
      <c r="L78">
        <v>0.79238539998186697</v>
      </c>
      <c r="Q78" t="s">
        <v>42</v>
      </c>
      <c r="R78">
        <v>0</v>
      </c>
      <c r="S78">
        <v>1</v>
      </c>
      <c r="T78">
        <v>0.76739539997652095</v>
      </c>
      <c r="Y78" t="s">
        <v>88</v>
      </c>
      <c r="Z78">
        <v>1</v>
      </c>
      <c r="AA78">
        <v>1</v>
      </c>
      <c r="AB78">
        <v>0.75086640001973104</v>
      </c>
      <c r="AG78" t="s">
        <v>76</v>
      </c>
      <c r="AH78">
        <v>0</v>
      </c>
      <c r="AI78">
        <v>1</v>
      </c>
      <c r="AJ78">
        <v>0.63101249997271203</v>
      </c>
    </row>
    <row r="79" spans="1:36" x14ac:dyDescent="0.35">
      <c r="A79" t="s">
        <v>78</v>
      </c>
      <c r="B79">
        <v>1</v>
      </c>
      <c r="C79">
        <v>1</v>
      </c>
      <c r="D79">
        <v>0.839182900032028</v>
      </c>
      <c r="I79" t="s">
        <v>71</v>
      </c>
      <c r="J79">
        <v>0</v>
      </c>
      <c r="K79">
        <v>1</v>
      </c>
      <c r="L79">
        <v>0.63458070001797695</v>
      </c>
      <c r="Q79" t="s">
        <v>63</v>
      </c>
      <c r="R79">
        <v>0</v>
      </c>
      <c r="S79">
        <v>1</v>
      </c>
      <c r="T79">
        <v>0.72388239996507697</v>
      </c>
      <c r="Y79" t="s">
        <v>33</v>
      </c>
      <c r="Z79">
        <v>1</v>
      </c>
      <c r="AA79">
        <v>1</v>
      </c>
      <c r="AB79">
        <v>0.473233199969399</v>
      </c>
      <c r="AG79" t="s">
        <v>45</v>
      </c>
      <c r="AH79">
        <v>1</v>
      </c>
      <c r="AI79">
        <v>0</v>
      </c>
      <c r="AJ79">
        <v>1.00728770002024</v>
      </c>
    </row>
    <row r="80" spans="1:36" x14ac:dyDescent="0.35">
      <c r="A80" t="s">
        <v>79</v>
      </c>
      <c r="B80">
        <v>1</v>
      </c>
      <c r="C80">
        <v>1</v>
      </c>
      <c r="D80">
        <v>0.60373819997766898</v>
      </c>
      <c r="I80" t="s">
        <v>21</v>
      </c>
      <c r="J80">
        <v>1</v>
      </c>
      <c r="K80">
        <v>1</v>
      </c>
      <c r="L80">
        <v>0.863707500044256</v>
      </c>
      <c r="Q80" t="s">
        <v>13</v>
      </c>
      <c r="R80">
        <v>0</v>
      </c>
      <c r="S80">
        <v>1</v>
      </c>
      <c r="T80">
        <v>0.56801580003229901</v>
      </c>
      <c r="Y80" t="s">
        <v>9</v>
      </c>
      <c r="Z80">
        <v>1</v>
      </c>
      <c r="AA80">
        <v>1</v>
      </c>
      <c r="AB80">
        <v>0.50387020001653504</v>
      </c>
      <c r="AG80" t="s">
        <v>92</v>
      </c>
      <c r="AH80">
        <v>0</v>
      </c>
      <c r="AI80">
        <v>1</v>
      </c>
      <c r="AJ80">
        <v>0.989727200008928</v>
      </c>
    </row>
    <row r="81" spans="1:36" x14ac:dyDescent="0.35">
      <c r="A81" t="s">
        <v>80</v>
      </c>
      <c r="B81">
        <v>1</v>
      </c>
      <c r="C81">
        <v>1</v>
      </c>
      <c r="D81">
        <v>0.65535939997061998</v>
      </c>
      <c r="I81" t="s">
        <v>19</v>
      </c>
      <c r="J81">
        <v>1</v>
      </c>
      <c r="K81">
        <v>1</v>
      </c>
      <c r="L81">
        <v>0.762482700054533</v>
      </c>
      <c r="Q81" t="s">
        <v>85</v>
      </c>
      <c r="R81">
        <v>1</v>
      </c>
      <c r="S81">
        <v>1</v>
      </c>
      <c r="T81">
        <v>0.58959470002446301</v>
      </c>
      <c r="Y81" t="s">
        <v>89</v>
      </c>
      <c r="Z81">
        <v>0</v>
      </c>
      <c r="AA81">
        <v>1</v>
      </c>
      <c r="AB81">
        <v>0.52102039998862804</v>
      </c>
      <c r="AG81" t="s">
        <v>93</v>
      </c>
      <c r="AH81">
        <v>0</v>
      </c>
      <c r="AI81">
        <v>1</v>
      </c>
      <c r="AJ81">
        <v>1.0090711999800901</v>
      </c>
    </row>
    <row r="82" spans="1:36" x14ac:dyDescent="0.35">
      <c r="A82" t="s">
        <v>81</v>
      </c>
      <c r="B82">
        <v>1</v>
      </c>
      <c r="C82">
        <v>1</v>
      </c>
      <c r="D82">
        <v>0.32367880002129801</v>
      </c>
      <c r="I82" t="s">
        <v>34</v>
      </c>
      <c r="J82">
        <v>0</v>
      </c>
      <c r="K82">
        <v>0</v>
      </c>
      <c r="L82">
        <v>1.31324420002056</v>
      </c>
      <c r="Q82" t="s">
        <v>60</v>
      </c>
      <c r="R82">
        <v>0</v>
      </c>
      <c r="S82">
        <v>1</v>
      </c>
      <c r="T82">
        <v>1.15699250000761</v>
      </c>
      <c r="Y82" t="s">
        <v>8</v>
      </c>
      <c r="Z82">
        <v>0</v>
      </c>
      <c r="AA82">
        <v>1</v>
      </c>
      <c r="AB82">
        <v>0.49604840000392803</v>
      </c>
      <c r="AG82" t="s">
        <v>36</v>
      </c>
      <c r="AH82">
        <v>1</v>
      </c>
      <c r="AI82">
        <v>1</v>
      </c>
      <c r="AJ82">
        <v>1.60595200001262</v>
      </c>
    </row>
    <row r="83" spans="1:36" x14ac:dyDescent="0.35">
      <c r="A83" t="s">
        <v>82</v>
      </c>
      <c r="B83">
        <v>0</v>
      </c>
      <c r="C83">
        <v>1</v>
      </c>
      <c r="D83">
        <v>0.76251059997593895</v>
      </c>
      <c r="I83" t="s">
        <v>44</v>
      </c>
      <c r="J83">
        <v>1</v>
      </c>
      <c r="K83">
        <v>0</v>
      </c>
      <c r="L83">
        <v>0.72085749998223003</v>
      </c>
      <c r="Q83" t="s">
        <v>30</v>
      </c>
      <c r="R83">
        <v>0</v>
      </c>
      <c r="S83">
        <v>0</v>
      </c>
      <c r="T83">
        <v>0.53917559998808395</v>
      </c>
      <c r="Y83" t="s">
        <v>41</v>
      </c>
      <c r="Z83">
        <v>1</v>
      </c>
      <c r="AA83">
        <v>1</v>
      </c>
      <c r="AB83">
        <v>0.51907399995252401</v>
      </c>
      <c r="AG83" t="s">
        <v>6</v>
      </c>
      <c r="AH83">
        <v>0</v>
      </c>
      <c r="AI83">
        <v>1</v>
      </c>
      <c r="AJ83">
        <v>1.0733185999561099</v>
      </c>
    </row>
    <row r="84" spans="1:36" x14ac:dyDescent="0.35">
      <c r="A84" t="s">
        <v>83</v>
      </c>
      <c r="B84">
        <v>0</v>
      </c>
      <c r="C84">
        <v>1</v>
      </c>
      <c r="D84">
        <v>0.62487109994981405</v>
      </c>
      <c r="I84" t="s">
        <v>96</v>
      </c>
      <c r="J84">
        <v>1</v>
      </c>
      <c r="K84">
        <v>1</v>
      </c>
      <c r="L84">
        <v>1.0820681999903099</v>
      </c>
      <c r="Q84" t="s">
        <v>82</v>
      </c>
      <c r="R84">
        <v>0</v>
      </c>
      <c r="S84">
        <v>1</v>
      </c>
      <c r="T84">
        <v>0.85403540002880596</v>
      </c>
      <c r="Y84" t="s">
        <v>12</v>
      </c>
      <c r="Z84">
        <v>1</v>
      </c>
      <c r="AA84">
        <v>1</v>
      </c>
      <c r="AB84">
        <v>0.54423739999765497</v>
      </c>
      <c r="AG84" t="s">
        <v>95</v>
      </c>
      <c r="AH84">
        <v>1</v>
      </c>
      <c r="AI84">
        <v>1</v>
      </c>
      <c r="AJ84">
        <v>0.71925880003254805</v>
      </c>
    </row>
    <row r="85" spans="1:36" x14ac:dyDescent="0.35">
      <c r="A85" t="s">
        <v>84</v>
      </c>
      <c r="B85">
        <v>1</v>
      </c>
      <c r="C85">
        <v>1</v>
      </c>
      <c r="D85">
        <v>0.48462529998505399</v>
      </c>
      <c r="I85" t="s">
        <v>35</v>
      </c>
      <c r="J85">
        <v>0</v>
      </c>
      <c r="K85">
        <v>1</v>
      </c>
      <c r="L85">
        <v>0.793533499992918</v>
      </c>
      <c r="Q85" t="s">
        <v>83</v>
      </c>
      <c r="R85">
        <v>0</v>
      </c>
      <c r="S85">
        <v>1</v>
      </c>
      <c r="T85">
        <v>1.9063784999889299</v>
      </c>
      <c r="Y85" t="s">
        <v>74</v>
      </c>
      <c r="Z85">
        <v>0</v>
      </c>
      <c r="AA85">
        <v>1</v>
      </c>
      <c r="AB85">
        <v>0.55337039998266802</v>
      </c>
      <c r="AG85" t="s">
        <v>3</v>
      </c>
      <c r="AH85">
        <v>0</v>
      </c>
      <c r="AI85">
        <v>1</v>
      </c>
      <c r="AJ85">
        <v>0.82076700002653502</v>
      </c>
    </row>
    <row r="86" spans="1:36" x14ac:dyDescent="0.35">
      <c r="A86" t="s">
        <v>85</v>
      </c>
      <c r="B86">
        <v>1</v>
      </c>
      <c r="C86">
        <v>0</v>
      </c>
      <c r="D86">
        <v>0.90967069996986505</v>
      </c>
      <c r="I86" t="s">
        <v>24</v>
      </c>
      <c r="J86">
        <v>1</v>
      </c>
      <c r="K86">
        <v>1</v>
      </c>
      <c r="L86">
        <v>1.02236360003007</v>
      </c>
      <c r="Q86" t="s">
        <v>99</v>
      </c>
      <c r="R86">
        <v>0</v>
      </c>
      <c r="S86">
        <v>1</v>
      </c>
      <c r="T86">
        <v>0.97297830000752505</v>
      </c>
      <c r="Y86" t="s">
        <v>29</v>
      </c>
      <c r="Z86">
        <v>1</v>
      </c>
      <c r="AA86">
        <v>1</v>
      </c>
      <c r="AB86">
        <v>1.5976202999590801</v>
      </c>
      <c r="AG86" t="s">
        <v>43</v>
      </c>
      <c r="AH86">
        <v>1</v>
      </c>
      <c r="AI86">
        <v>1</v>
      </c>
      <c r="AJ86">
        <v>0.94624139997176804</v>
      </c>
    </row>
    <row r="87" spans="1:36" x14ac:dyDescent="0.35">
      <c r="A87" t="s">
        <v>86</v>
      </c>
      <c r="B87">
        <v>0</v>
      </c>
      <c r="C87">
        <v>0</v>
      </c>
      <c r="D87">
        <v>0.49566680000862101</v>
      </c>
      <c r="I87" t="s">
        <v>46</v>
      </c>
      <c r="J87">
        <v>1</v>
      </c>
      <c r="K87">
        <v>1</v>
      </c>
      <c r="L87">
        <v>1.24696309998398</v>
      </c>
      <c r="Q87" t="s">
        <v>36</v>
      </c>
      <c r="R87">
        <v>1</v>
      </c>
      <c r="S87">
        <v>1</v>
      </c>
      <c r="T87">
        <v>0.61296410002978496</v>
      </c>
      <c r="Y87" t="s">
        <v>81</v>
      </c>
      <c r="Z87">
        <v>1</v>
      </c>
      <c r="AA87">
        <v>1</v>
      </c>
      <c r="AB87">
        <v>1.1298799000214701</v>
      </c>
      <c r="AG87" t="s">
        <v>30</v>
      </c>
      <c r="AH87">
        <v>0</v>
      </c>
      <c r="AI87">
        <v>1</v>
      </c>
      <c r="AJ87">
        <v>1.5541987000033199</v>
      </c>
    </row>
    <row r="88" spans="1:36" x14ac:dyDescent="0.35">
      <c r="A88" t="s">
        <v>87</v>
      </c>
      <c r="B88">
        <v>1</v>
      </c>
      <c r="C88">
        <v>1</v>
      </c>
      <c r="D88">
        <v>1.3207509000203499</v>
      </c>
      <c r="I88" t="s">
        <v>31</v>
      </c>
      <c r="J88">
        <v>1</v>
      </c>
      <c r="K88">
        <v>1</v>
      </c>
      <c r="L88">
        <v>0.54565450001973603</v>
      </c>
      <c r="Q88" t="s">
        <v>70</v>
      </c>
      <c r="R88">
        <v>1</v>
      </c>
      <c r="S88">
        <v>1</v>
      </c>
      <c r="T88">
        <v>0.47137719998136102</v>
      </c>
      <c r="Y88" t="s">
        <v>13</v>
      </c>
      <c r="Z88">
        <v>0</v>
      </c>
      <c r="AA88">
        <v>1</v>
      </c>
      <c r="AB88">
        <v>0.54212779999943395</v>
      </c>
      <c r="AG88" t="s">
        <v>61</v>
      </c>
      <c r="AH88">
        <v>1</v>
      </c>
      <c r="AI88">
        <v>1</v>
      </c>
      <c r="AJ88">
        <v>1.3230608999729101</v>
      </c>
    </row>
    <row r="89" spans="1:36" x14ac:dyDescent="0.35">
      <c r="A89" t="s">
        <v>88</v>
      </c>
      <c r="B89">
        <v>1</v>
      </c>
      <c r="C89">
        <v>1</v>
      </c>
      <c r="D89">
        <v>0.61523360002320204</v>
      </c>
      <c r="I89" t="s">
        <v>100</v>
      </c>
      <c r="J89">
        <v>1</v>
      </c>
      <c r="K89">
        <v>1</v>
      </c>
      <c r="L89">
        <v>0.57096540002385099</v>
      </c>
      <c r="Q89" t="s">
        <v>86</v>
      </c>
      <c r="R89">
        <v>0</v>
      </c>
      <c r="S89">
        <v>1</v>
      </c>
      <c r="T89">
        <v>0.980239399999845</v>
      </c>
      <c r="Y89" t="s">
        <v>19</v>
      </c>
      <c r="Z89">
        <v>1</v>
      </c>
      <c r="AA89">
        <v>1</v>
      </c>
      <c r="AB89">
        <v>0.51575570000568405</v>
      </c>
      <c r="AG89" t="s">
        <v>77</v>
      </c>
      <c r="AH89">
        <v>0</v>
      </c>
      <c r="AI89">
        <v>1</v>
      </c>
      <c r="AJ89">
        <v>1.1977978000068099</v>
      </c>
    </row>
    <row r="90" spans="1:36" x14ac:dyDescent="0.35">
      <c r="A90" t="s">
        <v>61</v>
      </c>
      <c r="B90">
        <v>1</v>
      </c>
      <c r="C90">
        <v>1</v>
      </c>
      <c r="D90">
        <v>0.45755579997785301</v>
      </c>
      <c r="I90" t="s">
        <v>61</v>
      </c>
      <c r="J90">
        <v>1</v>
      </c>
      <c r="K90">
        <v>1</v>
      </c>
      <c r="L90">
        <v>0.64065910002682303</v>
      </c>
      <c r="Q90" t="s">
        <v>101</v>
      </c>
      <c r="R90">
        <v>0</v>
      </c>
      <c r="S90">
        <v>1</v>
      </c>
      <c r="T90">
        <v>0.74178530002245602</v>
      </c>
      <c r="Y90" t="s">
        <v>48</v>
      </c>
      <c r="Z90">
        <v>0</v>
      </c>
      <c r="AA90">
        <v>1</v>
      </c>
      <c r="AB90">
        <v>1.6088949000113599</v>
      </c>
      <c r="AG90" t="s">
        <v>90</v>
      </c>
      <c r="AH90">
        <v>0</v>
      </c>
      <c r="AI90">
        <v>1</v>
      </c>
      <c r="AJ90">
        <v>1.1772847000393001</v>
      </c>
    </row>
    <row r="91" spans="1:36" x14ac:dyDescent="0.35">
      <c r="A91" t="s">
        <v>89</v>
      </c>
      <c r="B91">
        <v>0</v>
      </c>
      <c r="C91">
        <v>1</v>
      </c>
      <c r="D91">
        <v>0.79100529995048396</v>
      </c>
      <c r="I91" t="s">
        <v>82</v>
      </c>
      <c r="J91">
        <v>0</v>
      </c>
      <c r="K91">
        <v>1</v>
      </c>
      <c r="L91">
        <v>0.71904019999783397</v>
      </c>
      <c r="Q91" t="s">
        <v>50</v>
      </c>
      <c r="R91">
        <v>0</v>
      </c>
      <c r="S91">
        <v>0</v>
      </c>
      <c r="T91">
        <v>1.2255259000230501</v>
      </c>
      <c r="Y91" t="s">
        <v>34</v>
      </c>
      <c r="Z91">
        <v>0</v>
      </c>
      <c r="AA91">
        <v>1</v>
      </c>
      <c r="AB91">
        <v>2.55123240000102</v>
      </c>
      <c r="AG91" t="s">
        <v>10</v>
      </c>
      <c r="AH91">
        <v>1</v>
      </c>
      <c r="AI91">
        <v>1</v>
      </c>
      <c r="AJ91">
        <v>0.63869280001381401</v>
      </c>
    </row>
    <row r="92" spans="1:36" x14ac:dyDescent="0.35">
      <c r="A92" t="s">
        <v>90</v>
      </c>
      <c r="B92">
        <v>0</v>
      </c>
      <c r="C92">
        <v>1</v>
      </c>
      <c r="D92">
        <v>0.91777609998825904</v>
      </c>
      <c r="I92" t="s">
        <v>69</v>
      </c>
      <c r="J92">
        <v>0</v>
      </c>
      <c r="K92">
        <v>1</v>
      </c>
      <c r="L92">
        <v>0.67051019996870298</v>
      </c>
      <c r="Q92" t="s">
        <v>98</v>
      </c>
      <c r="R92">
        <v>0</v>
      </c>
      <c r="S92">
        <v>1</v>
      </c>
      <c r="T92">
        <v>1.12089560000458</v>
      </c>
      <c r="Y92" t="s">
        <v>62</v>
      </c>
      <c r="Z92">
        <v>0</v>
      </c>
      <c r="AA92">
        <v>1</v>
      </c>
      <c r="AB92">
        <v>0.859468899958301</v>
      </c>
      <c r="AG92" t="s">
        <v>69</v>
      </c>
      <c r="AH92">
        <v>0</v>
      </c>
      <c r="AI92">
        <v>1</v>
      </c>
      <c r="AJ92">
        <v>0.79207840003073204</v>
      </c>
    </row>
    <row r="93" spans="1:36" x14ac:dyDescent="0.35">
      <c r="A93" t="s">
        <v>91</v>
      </c>
      <c r="B93">
        <v>1</v>
      </c>
      <c r="C93">
        <v>1</v>
      </c>
      <c r="D93">
        <v>0.82151340000564199</v>
      </c>
      <c r="I93" t="s">
        <v>77</v>
      </c>
      <c r="J93">
        <v>0</v>
      </c>
      <c r="K93">
        <v>0</v>
      </c>
      <c r="L93">
        <v>0.59603510005399496</v>
      </c>
      <c r="Q93" t="s">
        <v>31</v>
      </c>
      <c r="R93">
        <v>1</v>
      </c>
      <c r="S93">
        <v>1</v>
      </c>
      <c r="T93">
        <v>1.09580179996555</v>
      </c>
      <c r="Y93" t="s">
        <v>80</v>
      </c>
      <c r="Z93">
        <v>1</v>
      </c>
      <c r="AA93">
        <v>1</v>
      </c>
      <c r="AB93">
        <v>0.476729099988006</v>
      </c>
      <c r="AG93" t="s">
        <v>59</v>
      </c>
      <c r="AH93">
        <v>1</v>
      </c>
      <c r="AI93">
        <v>1</v>
      </c>
      <c r="AJ93">
        <v>0.82642670004861396</v>
      </c>
    </row>
    <row r="94" spans="1:36" x14ac:dyDescent="0.35">
      <c r="A94" t="s">
        <v>92</v>
      </c>
      <c r="B94">
        <v>0</v>
      </c>
      <c r="C94">
        <v>1</v>
      </c>
      <c r="D94">
        <v>2.3275068000075398</v>
      </c>
      <c r="I94" t="s">
        <v>67</v>
      </c>
      <c r="J94">
        <v>0</v>
      </c>
      <c r="K94">
        <v>1</v>
      </c>
      <c r="L94">
        <v>0.95388960000127498</v>
      </c>
      <c r="Q94" t="s">
        <v>10</v>
      </c>
      <c r="R94">
        <v>1</v>
      </c>
      <c r="S94">
        <v>1</v>
      </c>
      <c r="T94">
        <v>0.53980100003536702</v>
      </c>
      <c r="Y94" t="s">
        <v>57</v>
      </c>
      <c r="Z94">
        <v>0</v>
      </c>
      <c r="AA94">
        <v>1</v>
      </c>
      <c r="AB94">
        <v>0.80346499994629905</v>
      </c>
      <c r="AG94" t="s">
        <v>28</v>
      </c>
      <c r="AH94">
        <v>0</v>
      </c>
      <c r="AI94">
        <v>1</v>
      </c>
      <c r="AJ94">
        <v>0.82172279997030195</v>
      </c>
    </row>
    <row r="95" spans="1:36" x14ac:dyDescent="0.35">
      <c r="A95" t="s">
        <v>93</v>
      </c>
      <c r="B95">
        <v>0</v>
      </c>
      <c r="C95">
        <v>1</v>
      </c>
      <c r="D95">
        <v>1.00589089997811</v>
      </c>
      <c r="I95" t="s">
        <v>4</v>
      </c>
      <c r="J95">
        <v>0</v>
      </c>
      <c r="K95">
        <v>1</v>
      </c>
      <c r="L95">
        <v>0.78722820000257299</v>
      </c>
      <c r="Q95" t="s">
        <v>51</v>
      </c>
      <c r="R95">
        <v>1</v>
      </c>
      <c r="S95">
        <v>1</v>
      </c>
      <c r="T95">
        <v>0.39423660002648803</v>
      </c>
      <c r="Y95" t="s">
        <v>24</v>
      </c>
      <c r="Z95">
        <v>1</v>
      </c>
      <c r="AA95">
        <v>1</v>
      </c>
      <c r="AB95">
        <v>0.489670199982356</v>
      </c>
      <c r="AG95" t="s">
        <v>20</v>
      </c>
      <c r="AH95">
        <v>1</v>
      </c>
      <c r="AI95">
        <v>1</v>
      </c>
      <c r="AJ95">
        <v>0.81625199998961695</v>
      </c>
    </row>
    <row r="96" spans="1:36" x14ac:dyDescent="0.35">
      <c r="A96" t="s">
        <v>94</v>
      </c>
      <c r="B96">
        <v>1</v>
      </c>
      <c r="C96">
        <v>1</v>
      </c>
      <c r="D96">
        <v>1.0291386000462801</v>
      </c>
      <c r="I96" t="s">
        <v>56</v>
      </c>
      <c r="J96">
        <v>1</v>
      </c>
      <c r="K96">
        <v>1</v>
      </c>
      <c r="L96">
        <v>0.72108139999909304</v>
      </c>
      <c r="Q96" t="s">
        <v>17</v>
      </c>
      <c r="R96">
        <v>1</v>
      </c>
      <c r="S96">
        <v>1</v>
      </c>
      <c r="T96">
        <v>0.53749930002959401</v>
      </c>
      <c r="Y96" t="s">
        <v>90</v>
      </c>
      <c r="Z96">
        <v>0</v>
      </c>
      <c r="AA96">
        <v>1</v>
      </c>
      <c r="AB96">
        <v>0.65307689999463003</v>
      </c>
      <c r="AG96" t="s">
        <v>17</v>
      </c>
      <c r="AH96">
        <v>1</v>
      </c>
      <c r="AI96">
        <v>1</v>
      </c>
      <c r="AJ96">
        <v>0.72921630000928395</v>
      </c>
    </row>
    <row r="97" spans="1:36" x14ac:dyDescent="0.35">
      <c r="A97" t="s">
        <v>95</v>
      </c>
      <c r="B97">
        <v>1</v>
      </c>
      <c r="C97">
        <v>1</v>
      </c>
      <c r="D97">
        <v>0.94872509996639498</v>
      </c>
      <c r="I97" t="s">
        <v>68</v>
      </c>
      <c r="J97">
        <v>1</v>
      </c>
      <c r="K97">
        <v>1</v>
      </c>
      <c r="L97">
        <v>0.59603340004105099</v>
      </c>
      <c r="Q97" t="s">
        <v>8</v>
      </c>
      <c r="R97">
        <v>0</v>
      </c>
      <c r="S97">
        <v>1</v>
      </c>
      <c r="T97">
        <v>0.84610239998437398</v>
      </c>
      <c r="Y97" t="s">
        <v>76</v>
      </c>
      <c r="Z97">
        <v>0</v>
      </c>
      <c r="AA97">
        <v>1</v>
      </c>
      <c r="AB97">
        <v>0.46997470001224401</v>
      </c>
      <c r="AG97" t="s">
        <v>18</v>
      </c>
      <c r="AH97">
        <v>0</v>
      </c>
      <c r="AI97">
        <v>1</v>
      </c>
      <c r="AJ97">
        <v>0.81392390001565196</v>
      </c>
    </row>
    <row r="98" spans="1:36" x14ac:dyDescent="0.35">
      <c r="A98" t="s">
        <v>96</v>
      </c>
      <c r="B98">
        <v>1</v>
      </c>
      <c r="C98">
        <v>1</v>
      </c>
      <c r="D98">
        <v>0.46250970003893599</v>
      </c>
      <c r="I98" t="s">
        <v>58</v>
      </c>
      <c r="J98">
        <v>0</v>
      </c>
      <c r="K98">
        <v>1</v>
      </c>
      <c r="L98">
        <v>0.76476180000463501</v>
      </c>
      <c r="Q98" t="s">
        <v>69</v>
      </c>
      <c r="R98">
        <v>0</v>
      </c>
      <c r="S98">
        <v>1</v>
      </c>
      <c r="T98">
        <v>1.00406870001461</v>
      </c>
      <c r="Y98" t="s">
        <v>98</v>
      </c>
      <c r="Z98">
        <v>0</v>
      </c>
      <c r="AA98">
        <v>1</v>
      </c>
      <c r="AB98">
        <v>0.42978340003173798</v>
      </c>
      <c r="AG98" t="s">
        <v>100</v>
      </c>
      <c r="AH98">
        <v>1</v>
      </c>
      <c r="AI98">
        <v>1</v>
      </c>
      <c r="AJ98">
        <v>0.66134120000060603</v>
      </c>
    </row>
    <row r="99" spans="1:36" x14ac:dyDescent="0.35">
      <c r="A99" t="s">
        <v>97</v>
      </c>
      <c r="B99">
        <v>1</v>
      </c>
      <c r="C99">
        <v>1</v>
      </c>
      <c r="D99">
        <v>0.89577709999866695</v>
      </c>
      <c r="I99" t="s">
        <v>90</v>
      </c>
      <c r="J99">
        <v>0</v>
      </c>
      <c r="K99">
        <v>1</v>
      </c>
      <c r="L99">
        <v>0.64235960005316795</v>
      </c>
      <c r="Q99" t="s">
        <v>28</v>
      </c>
      <c r="R99">
        <v>0</v>
      </c>
      <c r="S99">
        <v>0</v>
      </c>
      <c r="T99">
        <v>0.59623560000909404</v>
      </c>
      <c r="Y99" t="s">
        <v>91</v>
      </c>
      <c r="Z99">
        <v>1</v>
      </c>
      <c r="AA99">
        <v>1</v>
      </c>
      <c r="AB99">
        <v>0.53525559999979999</v>
      </c>
      <c r="AG99" t="s">
        <v>68</v>
      </c>
      <c r="AH99">
        <v>1</v>
      </c>
      <c r="AI99">
        <v>1</v>
      </c>
      <c r="AJ99">
        <v>0.73370420001447201</v>
      </c>
    </row>
    <row r="100" spans="1:36" x14ac:dyDescent="0.35">
      <c r="A100" t="s">
        <v>98</v>
      </c>
      <c r="B100">
        <v>0</v>
      </c>
      <c r="C100">
        <v>1</v>
      </c>
      <c r="D100">
        <v>0.64876579999690798</v>
      </c>
      <c r="I100" t="s">
        <v>89</v>
      </c>
      <c r="J100">
        <v>0</v>
      </c>
      <c r="K100">
        <v>1</v>
      </c>
      <c r="L100">
        <v>0.55022109998390001</v>
      </c>
      <c r="Q100" t="s">
        <v>91</v>
      </c>
      <c r="R100">
        <v>1</v>
      </c>
      <c r="S100">
        <v>1</v>
      </c>
      <c r="T100">
        <v>0.72951680002733998</v>
      </c>
      <c r="Y100" t="s">
        <v>22</v>
      </c>
      <c r="Z100">
        <v>1</v>
      </c>
      <c r="AA100">
        <v>1</v>
      </c>
      <c r="AB100">
        <v>1.0644255999941299</v>
      </c>
      <c r="AG100" t="s">
        <v>67</v>
      </c>
      <c r="AH100">
        <v>0</v>
      </c>
      <c r="AI100">
        <v>1</v>
      </c>
      <c r="AJ100">
        <v>2.8632475999765998</v>
      </c>
    </row>
    <row r="101" spans="1:36" x14ac:dyDescent="0.35">
      <c r="A101" t="s">
        <v>99</v>
      </c>
      <c r="B101">
        <v>0</v>
      </c>
      <c r="C101">
        <v>1</v>
      </c>
      <c r="D101">
        <v>0.99220340000465501</v>
      </c>
      <c r="I101" t="s">
        <v>74</v>
      </c>
      <c r="J101">
        <v>0</v>
      </c>
      <c r="K101">
        <v>1</v>
      </c>
      <c r="L101">
        <v>0.57949999999254898</v>
      </c>
      <c r="Q101" t="s">
        <v>74</v>
      </c>
      <c r="R101">
        <v>0</v>
      </c>
      <c r="S101">
        <v>0</v>
      </c>
      <c r="T101">
        <v>0.43494890001602399</v>
      </c>
      <c r="Y101" t="s">
        <v>92</v>
      </c>
      <c r="Z101">
        <v>0</v>
      </c>
      <c r="AA101">
        <v>1</v>
      </c>
      <c r="AB101">
        <v>1.2728449000278399</v>
      </c>
      <c r="AG101" t="s">
        <v>29</v>
      </c>
      <c r="AH101">
        <v>1</v>
      </c>
      <c r="AI101">
        <v>1</v>
      </c>
      <c r="AJ101">
        <v>0.81619000004138798</v>
      </c>
    </row>
    <row r="102" spans="1:36" x14ac:dyDescent="0.35">
      <c r="A102" t="s">
        <v>100</v>
      </c>
      <c r="B102">
        <v>1</v>
      </c>
      <c r="C102">
        <v>1</v>
      </c>
      <c r="D102">
        <v>0.69223469996359199</v>
      </c>
      <c r="I102" t="s">
        <v>81</v>
      </c>
      <c r="J102">
        <v>1</v>
      </c>
      <c r="K102">
        <v>1</v>
      </c>
      <c r="L102">
        <v>0.60423659998923496</v>
      </c>
      <c r="Q102" t="s">
        <v>20</v>
      </c>
      <c r="R102">
        <v>1</v>
      </c>
      <c r="S102">
        <v>1</v>
      </c>
      <c r="T102">
        <v>0.68868490000022498</v>
      </c>
      <c r="Y102" t="s">
        <v>36</v>
      </c>
      <c r="Z102">
        <v>1</v>
      </c>
      <c r="AA102">
        <v>1</v>
      </c>
      <c r="AB102">
        <v>0.50800979998894003</v>
      </c>
      <c r="AG102" t="s">
        <v>12</v>
      </c>
      <c r="AH102">
        <v>1</v>
      </c>
      <c r="AI102">
        <v>1</v>
      </c>
      <c r="AJ102">
        <v>1.54842649999773</v>
      </c>
    </row>
    <row r="103" spans="1:36" x14ac:dyDescent="0.35">
      <c r="A103" t="s">
        <v>101</v>
      </c>
      <c r="B103">
        <v>0</v>
      </c>
      <c r="C103">
        <v>1</v>
      </c>
      <c r="D103">
        <v>0.60597289999714099</v>
      </c>
      <c r="I103" t="s">
        <v>50</v>
      </c>
      <c r="J103">
        <v>0</v>
      </c>
      <c r="K103">
        <v>1</v>
      </c>
      <c r="L103">
        <v>1.1226500999764499</v>
      </c>
      <c r="Q103" t="s">
        <v>9</v>
      </c>
      <c r="R103">
        <v>1</v>
      </c>
      <c r="S103">
        <v>1</v>
      </c>
      <c r="T103">
        <v>0.472920300031546</v>
      </c>
      <c r="Y103" t="s">
        <v>6</v>
      </c>
      <c r="Z103">
        <v>0</v>
      </c>
      <c r="AA103">
        <v>1</v>
      </c>
      <c r="AB103">
        <v>0.67102790001081303</v>
      </c>
      <c r="AG103" t="s">
        <v>35</v>
      </c>
      <c r="AH103">
        <v>0</v>
      </c>
      <c r="AI103">
        <v>1</v>
      </c>
      <c r="AJ103">
        <v>0.682295500009786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topLeftCell="A6" workbookViewId="0">
      <selection activeCell="A15" sqref="A15"/>
    </sheetView>
  </sheetViews>
  <sheetFormatPr defaultRowHeight="14.5" x14ac:dyDescent="0.35"/>
  <cols>
    <col min="1" max="1" width="28.81640625" customWidth="1"/>
    <col min="2" max="2" width="11.90625" customWidth="1"/>
    <col min="3" max="6" width="13" customWidth="1"/>
  </cols>
  <sheetData>
    <row r="1" spans="1:6" x14ac:dyDescent="0.35">
      <c r="B1" t="s">
        <v>0</v>
      </c>
      <c r="C1" t="s">
        <v>110</v>
      </c>
      <c r="D1" t="s">
        <v>111</v>
      </c>
      <c r="E1" t="s">
        <v>112</v>
      </c>
      <c r="F1" t="s">
        <v>113</v>
      </c>
    </row>
    <row r="2" spans="1:6" x14ac:dyDescent="0.35">
      <c r="A2" s="1" t="s">
        <v>104</v>
      </c>
      <c r="B2">
        <v>0.75102999999999998</v>
      </c>
      <c r="C2">
        <v>0.88310200000000005</v>
      </c>
      <c r="D2">
        <v>0.90537500000000004</v>
      </c>
      <c r="E2">
        <v>0.74856699999999998</v>
      </c>
      <c r="F2">
        <v>1.1546700000000001</v>
      </c>
    </row>
    <row r="3" spans="1:6" x14ac:dyDescent="0.35">
      <c r="A3" s="1" t="s">
        <v>105</v>
      </c>
      <c r="B3">
        <v>0.9</v>
      </c>
      <c r="C3">
        <v>0.92</v>
      </c>
      <c r="D3">
        <v>0.85</v>
      </c>
      <c r="E3">
        <v>0.97</v>
      </c>
      <c r="F3">
        <v>0.97</v>
      </c>
    </row>
    <row r="4" spans="1:6" x14ac:dyDescent="0.35">
      <c r="A4" s="1" t="s">
        <v>108</v>
      </c>
      <c r="B4">
        <v>0.96</v>
      </c>
      <c r="C4">
        <v>0.94</v>
      </c>
      <c r="D4">
        <v>0.98</v>
      </c>
      <c r="E4">
        <v>1</v>
      </c>
      <c r="F4">
        <v>0.98</v>
      </c>
    </row>
    <row r="5" spans="1:6" x14ac:dyDescent="0.35">
      <c r="A5" s="1" t="s">
        <v>109</v>
      </c>
      <c r="B5">
        <v>0.2</v>
      </c>
      <c r="C5">
        <v>0.9</v>
      </c>
      <c r="D5">
        <v>0.72</v>
      </c>
      <c r="E5">
        <v>0.94</v>
      </c>
      <c r="F5">
        <v>0.96</v>
      </c>
    </row>
    <row r="6" spans="1:6" x14ac:dyDescent="0.35">
      <c r="A6" s="1" t="s">
        <v>106</v>
      </c>
      <c r="B6">
        <v>10</v>
      </c>
      <c r="C6">
        <v>8</v>
      </c>
      <c r="D6">
        <v>15</v>
      </c>
      <c r="E6">
        <v>3</v>
      </c>
      <c r="F6">
        <v>3</v>
      </c>
    </row>
    <row r="7" spans="1:6" x14ac:dyDescent="0.35">
      <c r="A7" s="1" t="s">
        <v>107</v>
      </c>
      <c r="B7">
        <v>0.1</v>
      </c>
      <c r="C7">
        <v>0.08</v>
      </c>
      <c r="D7">
        <v>0.15</v>
      </c>
      <c r="E7">
        <v>0.03</v>
      </c>
      <c r="F7">
        <v>0.03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2025-11-18T15:08:06Z</dcterms:created>
  <dcterms:modified xsi:type="dcterms:W3CDTF">2025-11-18T17:07:54Z</dcterms:modified>
</cp:coreProperties>
</file>